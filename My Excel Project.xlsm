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Lakshya\Desktop\"/>
    </mc:Choice>
  </mc:AlternateContent>
  <xr:revisionPtr revIDLastSave="0" documentId="13_ncr:1_{13AC6FDC-3085-4937-B6C6-A7339F4F2360}" xr6:coauthVersionLast="47" xr6:coauthVersionMax="47" xr10:uidLastSave="{00000000-0000-0000-0000-000000000000}"/>
  <bookViews>
    <workbookView xWindow="-108" yWindow="-108" windowWidth="23256" windowHeight="13176" activeTab="1" xr2:uid="{C95572A2-4316-4743-BD60-6914C2CE5253}"/>
  </bookViews>
  <sheets>
    <sheet name="Sheet1" sheetId="1" r:id="rId1"/>
    <sheet name="Dashboard " sheetId="3" r:id="rId2"/>
  </sheets>
  <definedNames>
    <definedName name="Slicer_Region1">#N/A</definedName>
  </definedNames>
  <calcPr calcId="191029"/>
  <pivotCaches>
    <pivotCache cacheId="1"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26" i="1" l="1"/>
  <c r="L27" i="1"/>
  <c r="L28" i="1"/>
  <c r="L29" i="1"/>
  <c r="L30" i="1"/>
  <c r="L31" i="1"/>
  <c r="L32" i="1"/>
  <c r="L33" i="1"/>
  <c r="L34" i="1"/>
  <c r="L35" i="1"/>
  <c r="L36" i="1"/>
  <c r="L37" i="1"/>
  <c r="K26" i="1"/>
  <c r="K27" i="1"/>
  <c r="K28" i="1"/>
  <c r="K29" i="1"/>
  <c r="K30" i="1"/>
  <c r="K31" i="1"/>
  <c r="K32" i="1"/>
  <c r="K33" i="1"/>
  <c r="K34" i="1"/>
  <c r="K35" i="1"/>
  <c r="K36" i="1"/>
  <c r="K37" i="1"/>
  <c r="I26" i="1"/>
  <c r="I27" i="1"/>
  <c r="I28" i="1"/>
  <c r="I29" i="1"/>
  <c r="I30" i="1"/>
  <c r="I31" i="1"/>
  <c r="I32" i="1"/>
  <c r="I33" i="1"/>
  <c r="I34" i="1"/>
  <c r="I35" i="1"/>
  <c r="I36" i="1"/>
  <c r="I37" i="1"/>
  <c r="K14" i="1" l="1"/>
  <c r="K17" i="1"/>
  <c r="K22" i="1"/>
  <c r="K25" i="1"/>
  <c r="L6" i="1"/>
  <c r="L7" i="1"/>
  <c r="L9" i="1"/>
  <c r="L10" i="1"/>
  <c r="L14" i="1"/>
  <c r="L15" i="1"/>
  <c r="L17" i="1"/>
  <c r="L18" i="1"/>
  <c r="L22" i="1"/>
  <c r="L23" i="1"/>
  <c r="L25" i="1"/>
  <c r="M2" i="1"/>
  <c r="I3" i="1"/>
  <c r="L3" i="1" s="1"/>
  <c r="I4" i="1"/>
  <c r="K4" i="1" s="1"/>
  <c r="I5" i="1"/>
  <c r="K5" i="1" s="1"/>
  <c r="I6" i="1"/>
  <c r="K6" i="1" s="1"/>
  <c r="I7" i="1"/>
  <c r="K7" i="1" s="1"/>
  <c r="I8" i="1"/>
  <c r="L8" i="1" s="1"/>
  <c r="I9" i="1"/>
  <c r="K9" i="1" s="1"/>
  <c r="I10" i="1"/>
  <c r="K10" i="1" s="1"/>
  <c r="I11" i="1"/>
  <c r="L11" i="1" s="1"/>
  <c r="I12" i="1"/>
  <c r="L12" i="1" s="1"/>
  <c r="I13" i="1"/>
  <c r="K13" i="1" s="1"/>
  <c r="I14" i="1"/>
  <c r="I15" i="1"/>
  <c r="K15" i="1" s="1"/>
  <c r="I16" i="1"/>
  <c r="L16" i="1" s="1"/>
  <c r="I17" i="1"/>
  <c r="I18" i="1"/>
  <c r="K18" i="1" s="1"/>
  <c r="I19" i="1"/>
  <c r="L19" i="1" s="1"/>
  <c r="I20" i="1"/>
  <c r="L20" i="1" s="1"/>
  <c r="I21" i="1"/>
  <c r="L21" i="1" s="1"/>
  <c r="I22" i="1"/>
  <c r="I23" i="1"/>
  <c r="K23" i="1" s="1"/>
  <c r="I24" i="1"/>
  <c r="L24" i="1" s="1"/>
  <c r="I25" i="1"/>
  <c r="I2" i="1"/>
  <c r="L2" i="1" s="1"/>
  <c r="K21" i="1" l="1"/>
  <c r="L13" i="1"/>
  <c r="L5" i="1"/>
  <c r="K20" i="1"/>
  <c r="K12" i="1"/>
  <c r="K2" i="1"/>
  <c r="L4" i="1"/>
  <c r="K19" i="1"/>
  <c r="K11" i="1"/>
  <c r="K3" i="1"/>
  <c r="K24" i="1"/>
  <c r="K16" i="1"/>
  <c r="K8" i="1"/>
</calcChain>
</file>

<file path=xl/sharedStrings.xml><?xml version="1.0" encoding="utf-8"?>
<sst xmlns="http://schemas.openxmlformats.org/spreadsheetml/2006/main" count="152" uniqueCount="96">
  <si>
    <t>Emp Code</t>
  </si>
  <si>
    <t>Sales Executive</t>
  </si>
  <si>
    <t>Region</t>
  </si>
  <si>
    <t>Day2</t>
  </si>
  <si>
    <t>Day3</t>
  </si>
  <si>
    <t>Day4</t>
  </si>
  <si>
    <t>Day5</t>
  </si>
  <si>
    <t>Total Sales</t>
  </si>
  <si>
    <t>Mum-TCL001</t>
  </si>
  <si>
    <t>Mum-TCL002</t>
  </si>
  <si>
    <t>Mum-TCL003</t>
  </si>
  <si>
    <t>Patna</t>
  </si>
  <si>
    <t>Surat</t>
  </si>
  <si>
    <t>Pune</t>
  </si>
  <si>
    <t>Delhi</t>
  </si>
  <si>
    <t>Nagpur</t>
  </si>
  <si>
    <t>Ranchi</t>
  </si>
  <si>
    <t>Chennai</t>
  </si>
  <si>
    <t>Preeti Mishra</t>
  </si>
  <si>
    <t>Mukul Rakesh</t>
  </si>
  <si>
    <t>Reena Rathore</t>
  </si>
  <si>
    <t>Sushma Bhujel</t>
  </si>
  <si>
    <t>Anuj Prakash</t>
  </si>
  <si>
    <t>Prashant Chauhan</t>
  </si>
  <si>
    <t>Atul Kapoor</t>
  </si>
  <si>
    <t>Aniket Goel</t>
  </si>
  <si>
    <t>Taranpreet Kaur</t>
  </si>
  <si>
    <t>Sakshi Sahu</t>
  </si>
  <si>
    <t>Sakshi Seth</t>
  </si>
  <si>
    <t>Radhisha Rastogi</t>
  </si>
  <si>
    <t>Gyan Prakash</t>
  </si>
  <si>
    <t>Lucky Sharma</t>
  </si>
  <si>
    <t>Riya Gupta</t>
  </si>
  <si>
    <t>Ummay Ruba</t>
  </si>
  <si>
    <t>Misba Haq</t>
  </si>
  <si>
    <t>Urooz Khan</t>
  </si>
  <si>
    <t>Geetanjali Tiwari</t>
  </si>
  <si>
    <t>Shipra Mishra</t>
  </si>
  <si>
    <t>Saurabh Agarwal</t>
  </si>
  <si>
    <t>Nishant Kesarwani</t>
  </si>
  <si>
    <t>Manan Gupta</t>
  </si>
  <si>
    <t>Priya Verma</t>
  </si>
  <si>
    <t>Mum-TCL004</t>
  </si>
  <si>
    <t>Mum-TCL005</t>
  </si>
  <si>
    <t>Mum-TCL006</t>
  </si>
  <si>
    <t>Mum-TCL007</t>
  </si>
  <si>
    <t>Mum-TCL008</t>
  </si>
  <si>
    <t>Mum-TCL009</t>
  </si>
  <si>
    <t>Mum-TCL010</t>
  </si>
  <si>
    <t>Mum-TCL011</t>
  </si>
  <si>
    <t>Mum-TCL012</t>
  </si>
  <si>
    <t>Mum-TCL013</t>
  </si>
  <si>
    <t>Mum-TCL014</t>
  </si>
  <si>
    <t>Mum-TCL015</t>
  </si>
  <si>
    <t>Mum-TCL016</t>
  </si>
  <si>
    <t>Mum-TCL017</t>
  </si>
  <si>
    <t>Mum-TCL018</t>
  </si>
  <si>
    <t>Mum-TCL019</t>
  </si>
  <si>
    <t>Mum-TCL020</t>
  </si>
  <si>
    <t>Mum-TCL021</t>
  </si>
  <si>
    <t>Mum-TCL022</t>
  </si>
  <si>
    <t>Mum-TCL023</t>
  </si>
  <si>
    <t>Mum-TCL024</t>
  </si>
  <si>
    <t>Lucknow</t>
  </si>
  <si>
    <t>Target</t>
  </si>
  <si>
    <t>Target Hit%</t>
  </si>
  <si>
    <t>Away From Target %</t>
  </si>
  <si>
    <t>Day1</t>
  </si>
  <si>
    <t>Grand Total</t>
  </si>
  <si>
    <t xml:space="preserve">Total Sales </t>
  </si>
  <si>
    <t>Mayank Agarwal</t>
  </si>
  <si>
    <t>Riya Guptaa</t>
  </si>
  <si>
    <t>Raveena Roy</t>
  </si>
  <si>
    <t>Mum-TCL025</t>
  </si>
  <si>
    <t>Mum-TCL026</t>
  </si>
  <si>
    <t>Mum-TCL027</t>
  </si>
  <si>
    <t>Mum-TCL028</t>
  </si>
  <si>
    <t>Mum-TCL029</t>
  </si>
  <si>
    <t>Mum-TCL030</t>
  </si>
  <si>
    <t>Mum-TCL031</t>
  </si>
  <si>
    <t>Mum-TCL032</t>
  </si>
  <si>
    <t>Mum-TCL033</t>
  </si>
  <si>
    <t>Mum-TCL034</t>
  </si>
  <si>
    <t>Mum-TCL035</t>
  </si>
  <si>
    <t>Mum-TCL036</t>
  </si>
  <si>
    <t>Aditi Tripathi</t>
  </si>
  <si>
    <t>Kumar Darsh</t>
  </si>
  <si>
    <t>Divya Kumar</t>
  </si>
  <si>
    <t>Peeyush Verma</t>
  </si>
  <si>
    <t>Sanjay Dutt</t>
  </si>
  <si>
    <t>Aditya Tripathi</t>
  </si>
  <si>
    <t>Shalini Sharma</t>
  </si>
  <si>
    <t>Mukesh Sharma</t>
  </si>
  <si>
    <t>Suraj Prakash</t>
  </si>
  <si>
    <t>Target Hit in %</t>
  </si>
  <si>
    <t xml:space="preserve">Away From Target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</si>
</sst>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1"/>
      <color theme="1"/>
      <name val="Calibri"/>
      <family val="2"/>
      <scheme val="minor"/>
    </font>
    <font>
      <sz val="8"/>
      <name val="Calibri"/>
      <family val="2"/>
      <scheme val="minor"/>
    </font>
    <font>
      <sz val="8"/>
      <color rgb="FF000000"/>
      <name val="Segoe UI"/>
      <family val="2"/>
    </font>
    <font>
      <u/>
      <sz val="11"/>
      <color theme="1"/>
      <name val="Calibri"/>
      <family val="2"/>
      <scheme val="minor"/>
    </font>
  </fonts>
  <fills count="6">
    <fill>
      <patternFill patternType="none"/>
    </fill>
    <fill>
      <patternFill patternType="gray125"/>
    </fill>
    <fill>
      <patternFill patternType="solid">
        <fgColor rgb="FFFFFF00"/>
        <bgColor indexed="64"/>
      </patternFill>
    </fill>
    <fill>
      <patternFill patternType="solid">
        <fgColor theme="3" tint="0.79998168889431442"/>
        <bgColor indexed="64"/>
      </patternFill>
    </fill>
    <fill>
      <patternFill patternType="solid">
        <fgColor theme="2" tint="-9.9978637043366805E-2"/>
        <bgColor indexed="64"/>
      </patternFill>
    </fill>
    <fill>
      <patternFill patternType="solid">
        <fgColor theme="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9" fontId="1" fillId="0" borderId="0" applyFont="0" applyFill="0" applyBorder="0" applyAlignment="0" applyProtection="0"/>
  </cellStyleXfs>
  <cellXfs count="11">
    <xf numFmtId="0" fontId="0" fillId="0" borderId="0" xfId="0"/>
    <xf numFmtId="0" fontId="2" fillId="2" borderId="1" xfId="0" applyFont="1" applyFill="1" applyBorder="1" applyAlignment="1">
      <alignment horizontal="center"/>
    </xf>
    <xf numFmtId="0" fontId="0" fillId="3" borderId="1" xfId="0" applyFill="1" applyBorder="1" applyAlignment="1">
      <alignment horizontal="center"/>
    </xf>
    <xf numFmtId="0" fontId="0" fillId="3" borderId="1" xfId="1" applyNumberFormat="1" applyFont="1" applyFill="1" applyBorder="1" applyAlignment="1">
      <alignment horizontal="center"/>
    </xf>
    <xf numFmtId="0" fontId="0" fillId="0" borderId="0" xfId="0" pivotButton="1"/>
    <xf numFmtId="0" fontId="0" fillId="0" borderId="0" xfId="0" applyAlignment="1">
      <alignment horizontal="left"/>
    </xf>
    <xf numFmtId="0" fontId="0" fillId="4" borderId="0" xfId="0" applyFill="1"/>
    <xf numFmtId="0" fontId="0" fillId="3" borderId="2" xfId="0" applyFill="1" applyBorder="1" applyAlignment="1">
      <alignment horizontal="center"/>
    </xf>
    <xf numFmtId="0" fontId="0" fillId="5" borderId="0" xfId="0" applyFill="1"/>
    <xf numFmtId="0" fontId="5" fillId="0" borderId="0" xfId="0" applyFont="1"/>
    <xf numFmtId="0" fontId="0" fillId="0" borderId="0" xfId="0" applyNumberFormat="1"/>
  </cellXfs>
  <cellStyles count="2">
    <cellStyle name="Normal" xfId="0" builtinId="0"/>
    <cellStyle name="Percent" xfId="1" builtinId="5"/>
  </cellStyles>
  <dxfs count="1">
    <dxf>
      <fill>
        <patternFill>
          <bgColor theme="2" tint="-0.24994659260841701"/>
        </patternFill>
      </fill>
    </dxf>
  </dxfs>
  <tableStyles count="1" defaultTableStyle="TableStyleMedium2" defaultPivotStyle="PivotStyleLight16">
    <tableStyle name="Slicer Style 1" pivot="0" table="0" count="5" xr9:uid="{DA0763FC-110B-46F7-85FE-48B02CD860E4}">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9"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Excel Project.xlsm]Dashboard !PivotTable1</c:name>
    <c:fmtId val="3"/>
  </c:pivotSource>
  <c:chart>
    <c:autoTitleDeleted val="1"/>
    <c:pivotFmts>
      <c:pivotFmt>
        <c:idx val="0"/>
        <c:spPr>
          <a:solidFill>
            <a:schemeClr val="accent1"/>
          </a:solidFill>
          <a:ln>
            <a:noFill/>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pivotFmt>
    </c:pivotFmts>
    <c:plotArea>
      <c:layout/>
      <c:barChart>
        <c:barDir val="bar"/>
        <c:grouping val="clustered"/>
        <c:varyColors val="0"/>
        <c:ser>
          <c:idx val="0"/>
          <c:order val="0"/>
          <c:tx>
            <c:strRef>
              <c:f>'Dashboard '!$B$3</c:f>
              <c:strCache>
                <c:ptCount val="1"/>
                <c:pt idx="0">
                  <c:v>Total</c:v>
                </c:pt>
              </c:strCache>
            </c:strRef>
          </c:tx>
          <c:spPr>
            <a:solidFill>
              <a:schemeClr val="accent1"/>
            </a:solidFill>
            <a:ln>
              <a:noFill/>
            </a:ln>
            <a:effectLst/>
          </c:spPr>
          <c:invertIfNegative val="0"/>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'!$A$4:$A$9</c:f>
              <c:strCache>
                <c:ptCount val="5"/>
                <c:pt idx="0">
                  <c:v>Nishant Kesarwani</c:v>
                </c:pt>
                <c:pt idx="1">
                  <c:v>Priya Verma</c:v>
                </c:pt>
                <c:pt idx="2">
                  <c:v>Saurabh Agarwal</c:v>
                </c:pt>
                <c:pt idx="3">
                  <c:v>Sushma Bhujel</c:v>
                </c:pt>
                <c:pt idx="4">
                  <c:v>Urooz Khan</c:v>
                </c:pt>
              </c:strCache>
            </c:strRef>
          </c:cat>
          <c:val>
            <c:numRef>
              <c:f>'Dashboard '!$B$4:$B$9</c:f>
              <c:numCache>
                <c:formatCode>General</c:formatCode>
                <c:ptCount val="5"/>
                <c:pt idx="0">
                  <c:v>256</c:v>
                </c:pt>
                <c:pt idx="1">
                  <c:v>294</c:v>
                </c:pt>
                <c:pt idx="2">
                  <c:v>268</c:v>
                </c:pt>
                <c:pt idx="3">
                  <c:v>265</c:v>
                </c:pt>
                <c:pt idx="4">
                  <c:v>236</c:v>
                </c:pt>
              </c:numCache>
            </c:numRef>
          </c:val>
          <c:extLst>
            <c:ext xmlns:c16="http://schemas.microsoft.com/office/drawing/2014/chart" uri="{C3380CC4-5D6E-409C-BE32-E72D297353CC}">
              <c16:uniqueId val="{00000000-69AA-44DF-974E-5494031B11C7}"/>
            </c:ext>
          </c:extLst>
        </c:ser>
        <c:dLbls>
          <c:showLegendKey val="0"/>
          <c:showVal val="0"/>
          <c:showCatName val="0"/>
          <c:showSerName val="0"/>
          <c:showPercent val="0"/>
          <c:showBubbleSize val="0"/>
        </c:dLbls>
        <c:gapWidth val="182"/>
        <c:axId val="586904504"/>
        <c:axId val="586904864"/>
      </c:barChart>
      <c:catAx>
        <c:axId val="5869045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6904864"/>
        <c:crosses val="autoZero"/>
        <c:auto val="1"/>
        <c:lblAlgn val="ctr"/>
        <c:lblOffset val="100"/>
        <c:noMultiLvlLbl val="0"/>
      </c:catAx>
      <c:valAx>
        <c:axId val="586904864"/>
        <c:scaling>
          <c:orientation val="minMax"/>
        </c:scaling>
        <c:delete val="1"/>
        <c:axPos val="b"/>
        <c:numFmt formatCode="General" sourceLinked="1"/>
        <c:majorTickMark val="none"/>
        <c:minorTickMark val="none"/>
        <c:tickLblPos val="nextTo"/>
        <c:crossAx val="5869045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Excel Project.xlsm]Dashboard !PivotTable5</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 '!$E$3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56C-4FDA-BD13-72F29045B2DB}"/>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56C-4FDA-BD13-72F29045B2DB}"/>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56C-4FDA-BD13-72F29045B2DB}"/>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56C-4FDA-BD13-72F29045B2DB}"/>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56C-4FDA-BD13-72F29045B2DB}"/>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 '!$D$4:$D$9</c:f>
              <c:strCache>
                <c:ptCount val="5"/>
                <c:pt idx="0">
                  <c:v>Nishant Kesarwani</c:v>
                </c:pt>
                <c:pt idx="1">
                  <c:v>Priya Verma</c:v>
                </c:pt>
                <c:pt idx="2">
                  <c:v>Saurabh Agarwal</c:v>
                </c:pt>
                <c:pt idx="3">
                  <c:v>Sushma Bhujel</c:v>
                </c:pt>
                <c:pt idx="4">
                  <c:v>Urooz Khan</c:v>
                </c:pt>
              </c:strCache>
            </c:strRef>
          </c:cat>
          <c:val>
            <c:numRef>
              <c:f>'Dashboard '!$E$4:$E$9</c:f>
              <c:numCache>
                <c:formatCode>General</c:formatCode>
                <c:ptCount val="5"/>
                <c:pt idx="0">
                  <c:v>256</c:v>
                </c:pt>
                <c:pt idx="1">
                  <c:v>294</c:v>
                </c:pt>
                <c:pt idx="2">
                  <c:v>268</c:v>
                </c:pt>
                <c:pt idx="3">
                  <c:v>265</c:v>
                </c:pt>
                <c:pt idx="4">
                  <c:v>236</c:v>
                </c:pt>
              </c:numCache>
            </c:numRef>
          </c:val>
          <c:extLst>
            <c:ext xmlns:c16="http://schemas.microsoft.com/office/drawing/2014/chart" uri="{C3380CC4-5D6E-409C-BE32-E72D297353CC}">
              <c16:uniqueId val="{00000000-BEB6-49ED-9D02-67E6DD906F0A}"/>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Excel Project.xlsm]Dashboard !PivotTable4</c:name>
    <c:fmtId val="0"/>
  </c:pivotSource>
  <c:chart>
    <c:autoTitleDeleted val="1"/>
    <c:pivotFmts>
      <c:pivotFmt>
        <c:idx val="0"/>
        <c:spPr>
          <a:ln w="31750" cap="rnd">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 '!$K$3</c:f>
              <c:strCache>
                <c:ptCount val="1"/>
                <c:pt idx="0">
                  <c:v>Total</c:v>
                </c:pt>
              </c:strCache>
            </c:strRef>
          </c:tx>
          <c:spPr>
            <a:ln w="31750" cap="rnd">
              <a:solidFill>
                <a:schemeClr val="accent1"/>
              </a:solidFill>
              <a:round/>
            </a:ln>
            <a:effectLst/>
          </c:spPr>
          <c:marker>
            <c:symbol val="circle"/>
            <c:size val="17"/>
            <c:spPr>
              <a:solidFill>
                <a:schemeClr val="accen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'Dashboard '!$J$4:$J$9</c:f>
              <c:strCache>
                <c:ptCount val="5"/>
                <c:pt idx="0">
                  <c:v>Nishant Kesarwani</c:v>
                </c:pt>
                <c:pt idx="1">
                  <c:v>Priya Verma</c:v>
                </c:pt>
                <c:pt idx="2">
                  <c:v>Saurabh Agarwal</c:v>
                </c:pt>
                <c:pt idx="3">
                  <c:v>Sushma Bhujel</c:v>
                </c:pt>
                <c:pt idx="4">
                  <c:v>Urooz Khan</c:v>
                </c:pt>
              </c:strCache>
            </c:strRef>
          </c:cat>
          <c:val>
            <c:numRef>
              <c:f>'Dashboard '!$K$4:$K$9</c:f>
              <c:numCache>
                <c:formatCode>General</c:formatCode>
                <c:ptCount val="5"/>
                <c:pt idx="0">
                  <c:v>48.8</c:v>
                </c:pt>
                <c:pt idx="1">
                  <c:v>41.2</c:v>
                </c:pt>
                <c:pt idx="2">
                  <c:v>46.4</c:v>
                </c:pt>
                <c:pt idx="3">
                  <c:v>47</c:v>
                </c:pt>
                <c:pt idx="4">
                  <c:v>52.800000000000004</c:v>
                </c:pt>
              </c:numCache>
            </c:numRef>
          </c:val>
          <c:smooth val="0"/>
          <c:extLst>
            <c:ext xmlns:c16="http://schemas.microsoft.com/office/drawing/2014/chart" uri="{C3380CC4-5D6E-409C-BE32-E72D297353CC}">
              <c16:uniqueId val="{00000000-613A-4B41-9A67-79CA4A3B7C5B}"/>
            </c:ext>
          </c:extLst>
        </c:ser>
        <c:dLbls>
          <c:dLblPos val="ctr"/>
          <c:showLegendKey val="0"/>
          <c:showVal val="1"/>
          <c:showCatName val="0"/>
          <c:showSerName val="0"/>
          <c:showPercent val="0"/>
          <c:showBubbleSize val="0"/>
        </c:dLbls>
        <c:marker val="1"/>
        <c:smooth val="0"/>
        <c:axId val="602037120"/>
        <c:axId val="602036040"/>
      </c:lineChart>
      <c:catAx>
        <c:axId val="60203712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02036040"/>
        <c:crosses val="autoZero"/>
        <c:auto val="1"/>
        <c:lblAlgn val="ctr"/>
        <c:lblOffset val="100"/>
        <c:noMultiLvlLbl val="0"/>
      </c:catAx>
      <c:valAx>
        <c:axId val="602036040"/>
        <c:scaling>
          <c:orientation val="minMax"/>
        </c:scaling>
        <c:delete val="1"/>
        <c:axPos val="l"/>
        <c:numFmt formatCode="General" sourceLinked="1"/>
        <c:majorTickMark val="none"/>
        <c:minorTickMark val="none"/>
        <c:tickLblPos val="nextTo"/>
        <c:crossAx val="6020371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G$1" lockText="1" noThreeD="1"/>
</file>

<file path=xl/ctrlProps/ctrlProp3.xml><?xml version="1.0" encoding="utf-8"?>
<formControlPr xmlns="http://schemas.microsoft.com/office/spreadsheetml/2009/9/main" objectType="CheckBox" checked="Checked" fmlaLink="$D$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3810</xdr:colOff>
      <xdr:row>9</xdr:row>
      <xdr:rowOff>110490</xdr:rowOff>
    </xdr:from>
    <xdr:to>
      <xdr:col>5</xdr:col>
      <xdr:colOff>22860</xdr:colOff>
      <xdr:row>21</xdr:row>
      <xdr:rowOff>99060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216716</xdr:colOff>
      <xdr:row>9</xdr:row>
      <xdr:rowOff>111853</xdr:rowOff>
    </xdr:from>
    <xdr:to>
      <xdr:col>8</xdr:col>
      <xdr:colOff>41945</xdr:colOff>
      <xdr:row>21</xdr:row>
      <xdr:rowOff>99060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195743</xdr:colOff>
      <xdr:row>9</xdr:row>
      <xdr:rowOff>111853</xdr:rowOff>
    </xdr:from>
    <xdr:to>
      <xdr:col>10</xdr:col>
      <xdr:colOff>1318260</xdr:colOff>
      <xdr:row>21</xdr:row>
      <xdr:rowOff>121920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xdr:colOff>
      <xdr:row>0</xdr:row>
      <xdr:rowOff>0</xdr:rowOff>
    </xdr:from>
    <xdr:to>
      <xdr:col>11</xdr:col>
      <xdr:colOff>22249</xdr:colOff>
      <xdr:row>1</xdr:row>
      <xdr:rowOff>236219</xdr:rowOff>
    </xdr:to>
    <mc:AlternateContent xmlns:mc="http://schemas.openxmlformats.org/markup-compatibility/2006" xmlns:a14="http://schemas.microsoft.com/office/drawing/2010/main">
      <mc:Choice Requires="a14">
        <xdr:graphicFrame macro="">
          <xdr:nvGraphicFramePr>
            <xdr:cNvPr id="6" name="Region 1">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1" y="0"/>
              <a:ext cx="8953500" cy="41991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472440</xdr:colOff>
      <xdr:row>1</xdr:row>
      <xdr:rowOff>281940</xdr:rowOff>
    </xdr:from>
    <xdr:to>
      <xdr:col>1</xdr:col>
      <xdr:colOff>502920</xdr:colOff>
      <xdr:row>1</xdr:row>
      <xdr:rowOff>601980</xdr:rowOff>
    </xdr:to>
    <xdr:sp macro="" textlink="">
      <xdr:nvSpPr>
        <xdr:cNvPr id="7" name="Speech Bubble: Rectangle with Corners Rounded 6">
          <a:extLst>
            <a:ext uri="{FF2B5EF4-FFF2-40B4-BE49-F238E27FC236}">
              <a16:creationId xmlns:a16="http://schemas.microsoft.com/office/drawing/2014/main" id="{00000000-0008-0000-0100-000007000000}"/>
            </a:ext>
          </a:extLst>
        </xdr:cNvPr>
        <xdr:cNvSpPr/>
      </xdr:nvSpPr>
      <xdr:spPr>
        <a:xfrm>
          <a:off x="472440" y="464820"/>
          <a:ext cx="1112520" cy="320040"/>
        </a:xfrm>
        <a:prstGeom prst="wedgeRoundRectCallout">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670560</xdr:colOff>
          <xdr:row>1</xdr:row>
          <xdr:rowOff>327660</xdr:rowOff>
        </xdr:from>
        <xdr:to>
          <xdr:col>1</xdr:col>
          <xdr:colOff>381000</xdr:colOff>
          <xdr:row>1</xdr:row>
          <xdr:rowOff>548640</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9</xdr:col>
      <xdr:colOff>559701</xdr:colOff>
      <xdr:row>1</xdr:row>
      <xdr:rowOff>261717</xdr:rowOff>
    </xdr:from>
    <xdr:to>
      <xdr:col>10</xdr:col>
      <xdr:colOff>813887</xdr:colOff>
      <xdr:row>1</xdr:row>
      <xdr:rowOff>581757</xdr:rowOff>
    </xdr:to>
    <xdr:sp macro="" textlink="">
      <xdr:nvSpPr>
        <xdr:cNvPr id="9" name="Speech Bubble: Rectangle with Corners Rounded 8">
          <a:extLst>
            <a:ext uri="{FF2B5EF4-FFF2-40B4-BE49-F238E27FC236}">
              <a16:creationId xmlns:a16="http://schemas.microsoft.com/office/drawing/2014/main" id="{00000000-0008-0000-0100-000009000000}"/>
            </a:ext>
          </a:extLst>
        </xdr:cNvPr>
        <xdr:cNvSpPr/>
      </xdr:nvSpPr>
      <xdr:spPr>
        <a:xfrm>
          <a:off x="7063915" y="445413"/>
          <a:ext cx="1369972" cy="320040"/>
        </a:xfrm>
        <a:prstGeom prst="wedgeRoundRectCallout">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447909</xdr:colOff>
      <xdr:row>1</xdr:row>
      <xdr:rowOff>282129</xdr:rowOff>
    </xdr:from>
    <xdr:to>
      <xdr:col>7</xdr:col>
      <xdr:colOff>485192</xdr:colOff>
      <xdr:row>1</xdr:row>
      <xdr:rowOff>602169</xdr:rowOff>
    </xdr:to>
    <xdr:sp macro="" textlink="">
      <xdr:nvSpPr>
        <xdr:cNvPr id="10" name="Speech Bubble: Rectangle with Corners Rounded 9">
          <a:extLst>
            <a:ext uri="{FF2B5EF4-FFF2-40B4-BE49-F238E27FC236}">
              <a16:creationId xmlns:a16="http://schemas.microsoft.com/office/drawing/2014/main" id="{00000000-0008-0000-0100-00000A000000}"/>
            </a:ext>
          </a:extLst>
        </xdr:cNvPr>
        <xdr:cNvSpPr/>
      </xdr:nvSpPr>
      <xdr:spPr>
        <a:xfrm>
          <a:off x="4652516" y="465825"/>
          <a:ext cx="1153069" cy="320040"/>
        </a:xfrm>
        <a:prstGeom prst="wedgeRoundRectCallout">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822960</xdr:colOff>
          <xdr:row>1</xdr:row>
          <xdr:rowOff>327660</xdr:rowOff>
        </xdr:from>
        <xdr:to>
          <xdr:col>10</xdr:col>
          <xdr:colOff>533400</xdr:colOff>
          <xdr:row>1</xdr:row>
          <xdr:rowOff>548640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twoCellAnchor>
    <xdr:from>
      <xdr:col>3</xdr:col>
      <xdr:colOff>275135</xdr:colOff>
      <xdr:row>1</xdr:row>
      <xdr:rowOff>281941</xdr:rowOff>
    </xdr:from>
    <xdr:to>
      <xdr:col>4</xdr:col>
      <xdr:colOff>489312</xdr:colOff>
      <xdr:row>1</xdr:row>
      <xdr:rowOff>601981</xdr:rowOff>
    </xdr:to>
    <xdr:sp macro="" textlink="">
      <xdr:nvSpPr>
        <xdr:cNvPr id="2" name="Speech Bubble: Rectangle with Corners Rounded 1">
          <a:extLst>
            <a:ext uri="{FF2B5EF4-FFF2-40B4-BE49-F238E27FC236}">
              <a16:creationId xmlns:a16="http://schemas.microsoft.com/office/drawing/2014/main" id="{00000000-0008-0000-0100-000002000000}"/>
            </a:ext>
          </a:extLst>
        </xdr:cNvPr>
        <xdr:cNvSpPr/>
      </xdr:nvSpPr>
      <xdr:spPr>
        <a:xfrm>
          <a:off x="2418260" y="465637"/>
          <a:ext cx="1289141" cy="320040"/>
        </a:xfrm>
        <a:prstGeom prst="wedgeRoundRectCallout">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609600</xdr:colOff>
          <xdr:row>1</xdr:row>
          <xdr:rowOff>327660</xdr:rowOff>
        </xdr:from>
        <xdr:to>
          <xdr:col>7</xdr:col>
          <xdr:colOff>312420</xdr:colOff>
          <xdr:row>1</xdr:row>
          <xdr:rowOff>548640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518160</xdr:colOff>
          <xdr:row>1</xdr:row>
          <xdr:rowOff>327660</xdr:rowOff>
        </xdr:from>
        <xdr:to>
          <xdr:col>4</xdr:col>
          <xdr:colOff>236220</xdr:colOff>
          <xdr:row>1</xdr:row>
          <xdr:rowOff>548640</xdr:rowOff>
        </xdr:to>
        <xdr:sp macro="" textlink="">
          <xdr:nvSpPr>
            <xdr:cNvPr id="3079" name="Check Box 7"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akshya prakash" refreshedDate="45966.613297800926" createdVersion="8" refreshedVersion="8" minRefreshableVersion="3" recordCount="36" xr:uid="{3584A4DB-0B9D-4465-9CB0-6389A78C5096}">
  <cacheSource type="worksheet">
    <worksheetSource ref="A1:L37" sheet="Sheet1"/>
  </cacheSource>
  <cacheFields count="12">
    <cacheField name="Emp Code" numFmtId="0">
      <sharedItems/>
    </cacheField>
    <cacheField name="Sales Executive" numFmtId="0">
      <sharedItems count="36">
        <s v="Mukul Rakesh"/>
        <s v="Reena Rathore"/>
        <s v="Sushma Bhujel"/>
        <s v="Anuj Prakash"/>
        <s v="Prashant Chauhan"/>
        <s v="Atul Kapoor"/>
        <s v="Preeti Mishra"/>
        <s v="Sakshi Seth"/>
        <s v="Radhisha Rastogi"/>
        <s v="Saurabh Agarwal"/>
        <s v="Aniket Goel"/>
        <s v="Taranpreet Kaur"/>
        <s v="Sakshi Sahu"/>
        <s v="Gyan Prakash"/>
        <s v="Riya Gupta"/>
        <s v="Ummay Ruba"/>
        <s v="Lucky Sharma"/>
        <s v="Shipra Mishra"/>
        <s v="Urooz Khan"/>
        <s v="Geetanjali Tiwari"/>
        <s v="Misba Haq"/>
        <s v="Nishant Kesarwani"/>
        <s v="Manan Gupta"/>
        <s v="Priya Verma"/>
        <s v="Mayank Agarwal"/>
        <s v="Riya Guptaa"/>
        <s v="Raveena Roy"/>
        <s v="Aditi Tripathi"/>
        <s v="Kumar Darsh"/>
        <s v="Divya Kumar"/>
        <s v="Peeyush Verma"/>
        <s v="Sanjay Dutt"/>
        <s v="Aditya Tripathi"/>
        <s v="Shalini Sharma"/>
        <s v="Mukesh Sharma"/>
        <s v="Suraj Prakash"/>
      </sharedItems>
    </cacheField>
    <cacheField name="Region" numFmtId="0">
      <sharedItems count="8">
        <s v="Surat"/>
        <s v="Nagpur"/>
        <s v="Ranchi"/>
        <s v="Delhi"/>
        <s v="Chennai"/>
        <s v="Patna"/>
        <s v="Pune"/>
        <s v="Lucknow"/>
      </sharedItems>
    </cacheField>
    <cacheField name="Day1" numFmtId="0">
      <sharedItems containsSemiMixedTypes="0" containsString="0" containsNumber="1" containsInteger="1" minValue="10" maxValue="90"/>
    </cacheField>
    <cacheField name="Day2" numFmtId="0">
      <sharedItems containsSemiMixedTypes="0" containsString="0" containsNumber="1" containsInteger="1" minValue="14" maxValue="97"/>
    </cacheField>
    <cacheField name="Day3" numFmtId="0">
      <sharedItems containsSemiMixedTypes="0" containsString="0" containsNumber="1" containsInteger="1" minValue="12" maxValue="97"/>
    </cacheField>
    <cacheField name="Day4" numFmtId="0">
      <sharedItems containsSemiMixedTypes="0" containsString="0" containsNumber="1" containsInteger="1" minValue="10" maxValue="97"/>
    </cacheField>
    <cacheField name="Day5" numFmtId="0">
      <sharedItems containsSemiMixedTypes="0" containsString="0" containsNumber="1" containsInteger="1" minValue="12" maxValue="90"/>
    </cacheField>
    <cacheField name="Total Sales" numFmtId="0">
      <sharedItems containsSemiMixedTypes="0" containsString="0" containsNumber="1" containsInteger="1" minValue="194" maxValue="406"/>
    </cacheField>
    <cacheField name="Target" numFmtId="0">
      <sharedItems containsSemiMixedTypes="0" containsString="0" containsNumber="1" containsInteger="1" minValue="500" maxValue="500"/>
    </cacheField>
    <cacheField name="Target Hit%" numFmtId="0">
      <sharedItems containsSemiMixedTypes="0" containsString="0" containsNumber="1" minValue="38.800000000000004" maxValue="81.2"/>
    </cacheField>
    <cacheField name="Away From Target %" numFmtId="0">
      <sharedItems containsSemiMixedTypes="0" containsString="0" containsNumber="1" minValue="18.799999999999994" maxValue="61.199999999999996"/>
    </cacheField>
  </cacheFields>
  <extLst>
    <ext xmlns:x14="http://schemas.microsoft.com/office/spreadsheetml/2009/9/main" uri="{725AE2AE-9491-48be-B2B4-4EB974FC3084}">
      <x14:pivotCacheDefinition pivotCacheId="154800853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
  <r>
    <s v="Mum-TCL001"/>
    <x v="0"/>
    <x v="0"/>
    <n v="26"/>
    <n v="76"/>
    <n v="76"/>
    <n v="81"/>
    <n v="39"/>
    <n v="298"/>
    <n v="500"/>
    <n v="59.599999999999994"/>
    <n v="40.400000000000006"/>
  </r>
  <r>
    <s v="Mum-TCL002"/>
    <x v="1"/>
    <x v="1"/>
    <n v="76"/>
    <n v="94"/>
    <n v="89"/>
    <n v="27"/>
    <n v="81"/>
    <n v="367"/>
    <n v="500"/>
    <n v="73.400000000000006"/>
    <n v="26.6"/>
  </r>
  <r>
    <s v="Mum-TCL003"/>
    <x v="2"/>
    <x v="2"/>
    <n v="87"/>
    <n v="94"/>
    <n v="22"/>
    <n v="38"/>
    <n v="24"/>
    <n v="265"/>
    <n v="500"/>
    <n v="53"/>
    <n v="47"/>
  </r>
  <r>
    <s v="Mum-TCL004"/>
    <x v="3"/>
    <x v="3"/>
    <n v="68"/>
    <n v="89"/>
    <n v="70"/>
    <n v="16"/>
    <n v="80"/>
    <n v="323"/>
    <n v="500"/>
    <n v="64.600000000000009"/>
    <n v="35.4"/>
  </r>
  <r>
    <s v="Mum-TCL005"/>
    <x v="4"/>
    <x v="4"/>
    <n v="86"/>
    <n v="81"/>
    <n v="50"/>
    <n v="97"/>
    <n v="48"/>
    <n v="362"/>
    <n v="500"/>
    <n v="72.399999999999991"/>
    <n v="27.6"/>
  </r>
  <r>
    <s v="Mum-TCL006"/>
    <x v="5"/>
    <x v="0"/>
    <n v="28"/>
    <n v="54"/>
    <n v="42"/>
    <n v="15"/>
    <n v="88"/>
    <n v="227"/>
    <n v="500"/>
    <n v="45.4"/>
    <n v="54.6"/>
  </r>
  <r>
    <s v="Mum-TCL007"/>
    <x v="6"/>
    <x v="5"/>
    <n v="27"/>
    <n v="85"/>
    <n v="69"/>
    <n v="41"/>
    <n v="64"/>
    <n v="286"/>
    <n v="500"/>
    <n v="57.199999999999996"/>
    <n v="42.800000000000004"/>
  </r>
  <r>
    <s v="Mum-TCL008"/>
    <x v="7"/>
    <x v="4"/>
    <n v="14"/>
    <n v="91"/>
    <n v="77"/>
    <n v="73"/>
    <n v="19"/>
    <n v="274"/>
    <n v="500"/>
    <n v="54.800000000000004"/>
    <n v="45.199999999999996"/>
  </r>
  <r>
    <s v="Mum-TCL009"/>
    <x v="8"/>
    <x v="1"/>
    <n v="25"/>
    <n v="48"/>
    <n v="62"/>
    <n v="18"/>
    <n v="90"/>
    <n v="243"/>
    <n v="500"/>
    <n v="48.6"/>
    <n v="51.4"/>
  </r>
  <r>
    <s v="Mum-TCL010"/>
    <x v="9"/>
    <x v="2"/>
    <n v="66"/>
    <n v="40"/>
    <n v="40"/>
    <n v="45"/>
    <n v="77"/>
    <n v="268"/>
    <n v="500"/>
    <n v="53.6"/>
    <n v="46.4"/>
  </r>
  <r>
    <s v="Mum-TCL011"/>
    <x v="10"/>
    <x v="5"/>
    <n v="43"/>
    <n v="15"/>
    <n v="16"/>
    <n v="84"/>
    <n v="55"/>
    <n v="213"/>
    <n v="500"/>
    <n v="42.6"/>
    <n v="57.400000000000006"/>
  </r>
  <r>
    <s v="Mum-TCL012"/>
    <x v="11"/>
    <x v="6"/>
    <n v="62"/>
    <n v="39"/>
    <n v="31"/>
    <n v="54"/>
    <n v="70"/>
    <n v="256"/>
    <n v="500"/>
    <n v="51.2"/>
    <n v="48.8"/>
  </r>
  <r>
    <s v="Mum-TCL013"/>
    <x v="12"/>
    <x v="0"/>
    <n v="57"/>
    <n v="74"/>
    <n v="58"/>
    <n v="16"/>
    <n v="72"/>
    <n v="277"/>
    <n v="500"/>
    <n v="55.400000000000006"/>
    <n v="44.599999999999994"/>
  </r>
  <r>
    <s v="Mum-TCL014"/>
    <x v="13"/>
    <x v="4"/>
    <n v="76"/>
    <n v="97"/>
    <n v="80"/>
    <n v="75"/>
    <n v="78"/>
    <n v="406"/>
    <n v="500"/>
    <n v="81.2"/>
    <n v="18.799999999999994"/>
  </r>
  <r>
    <s v="Mum-TCL015"/>
    <x v="14"/>
    <x v="0"/>
    <n v="59"/>
    <n v="43"/>
    <n v="61"/>
    <n v="10"/>
    <n v="87"/>
    <n v="260"/>
    <n v="500"/>
    <n v="52"/>
    <n v="48"/>
  </r>
  <r>
    <s v="Mum-TCL016"/>
    <x v="15"/>
    <x v="7"/>
    <n v="75"/>
    <n v="34"/>
    <n v="45"/>
    <n v="41"/>
    <n v="81"/>
    <n v="276"/>
    <n v="500"/>
    <n v="55.2"/>
    <n v="44.8"/>
  </r>
  <r>
    <s v="Mum-TCL017"/>
    <x v="16"/>
    <x v="7"/>
    <n v="90"/>
    <n v="73"/>
    <n v="76"/>
    <n v="83"/>
    <n v="34"/>
    <n v="356"/>
    <n v="500"/>
    <n v="71.2"/>
    <n v="28.800000000000004"/>
  </r>
  <r>
    <s v="Mum-TCL018"/>
    <x v="17"/>
    <x v="6"/>
    <n v="83"/>
    <n v="65"/>
    <n v="82"/>
    <n v="92"/>
    <n v="30"/>
    <n v="352"/>
    <n v="500"/>
    <n v="70.399999999999991"/>
    <n v="29.600000000000005"/>
  </r>
  <r>
    <s v="Mum-TCL019"/>
    <x v="18"/>
    <x v="2"/>
    <n v="49"/>
    <n v="73"/>
    <n v="21"/>
    <n v="20"/>
    <n v="73"/>
    <n v="236"/>
    <n v="500"/>
    <n v="47.199999999999996"/>
    <n v="52.800000000000004"/>
  </r>
  <r>
    <s v="Mum-TCL020"/>
    <x v="19"/>
    <x v="3"/>
    <n v="10"/>
    <n v="49"/>
    <n v="65"/>
    <n v="52"/>
    <n v="88"/>
    <n v="264"/>
    <n v="500"/>
    <n v="52.800000000000004"/>
    <n v="47.199999999999996"/>
  </r>
  <r>
    <s v="Mum-TCL021"/>
    <x v="20"/>
    <x v="0"/>
    <n v="29"/>
    <n v="93"/>
    <n v="53"/>
    <n v="22"/>
    <n v="17"/>
    <n v="214"/>
    <n v="500"/>
    <n v="42.8"/>
    <n v="57.2"/>
  </r>
  <r>
    <s v="Mum-TCL022"/>
    <x v="21"/>
    <x v="2"/>
    <n v="35"/>
    <n v="83"/>
    <n v="27"/>
    <n v="50"/>
    <n v="61"/>
    <n v="256"/>
    <n v="500"/>
    <n v="51.2"/>
    <n v="48.8"/>
  </r>
  <r>
    <s v="Mum-TCL023"/>
    <x v="22"/>
    <x v="4"/>
    <n v="83"/>
    <n v="31"/>
    <n v="12"/>
    <n v="10"/>
    <n v="89"/>
    <n v="225"/>
    <n v="500"/>
    <n v="45"/>
    <n v="55.000000000000007"/>
  </r>
  <r>
    <s v="Mum-TCL024"/>
    <x v="23"/>
    <x v="2"/>
    <n v="71"/>
    <n v="61"/>
    <n v="60"/>
    <n v="44"/>
    <n v="58"/>
    <n v="294"/>
    <n v="500"/>
    <n v="58.8"/>
    <n v="41.2"/>
  </r>
  <r>
    <s v="Mum-TCL025"/>
    <x v="24"/>
    <x v="5"/>
    <n v="61"/>
    <n v="61"/>
    <n v="45"/>
    <n v="76"/>
    <n v="82"/>
    <n v="325"/>
    <n v="500"/>
    <n v="65"/>
    <n v="35"/>
  </r>
  <r>
    <s v="Mum-TCL026"/>
    <x v="25"/>
    <x v="1"/>
    <n v="45"/>
    <n v="87"/>
    <n v="54"/>
    <n v="90"/>
    <n v="53"/>
    <n v="329"/>
    <n v="500"/>
    <n v="65.8"/>
    <n v="34.199999999999996"/>
  </r>
  <r>
    <s v="Mum-TCL027"/>
    <x v="26"/>
    <x v="7"/>
    <n v="76"/>
    <n v="68"/>
    <n v="85"/>
    <n v="77"/>
    <n v="27"/>
    <n v="333"/>
    <n v="500"/>
    <n v="66.600000000000009"/>
    <n v="33.4"/>
  </r>
  <r>
    <s v="Mum-TCL028"/>
    <x v="27"/>
    <x v="6"/>
    <n v="82"/>
    <n v="86"/>
    <n v="91"/>
    <n v="55"/>
    <n v="53"/>
    <n v="367"/>
    <n v="500"/>
    <n v="73.400000000000006"/>
    <n v="26.6"/>
  </r>
  <r>
    <s v="Mum-TCL029"/>
    <x v="28"/>
    <x v="4"/>
    <n v="21"/>
    <n v="28"/>
    <n v="48"/>
    <n v="70"/>
    <n v="27"/>
    <n v="194"/>
    <n v="500"/>
    <n v="38.800000000000004"/>
    <n v="61.199999999999996"/>
  </r>
  <r>
    <s v="Mum-TCL030"/>
    <x v="29"/>
    <x v="0"/>
    <n v="65"/>
    <n v="27"/>
    <n v="40"/>
    <n v="72"/>
    <n v="12"/>
    <n v="216"/>
    <n v="500"/>
    <n v="43.2"/>
    <n v="56.800000000000004"/>
  </r>
  <r>
    <s v="Mum-TCL031"/>
    <x v="30"/>
    <x v="7"/>
    <n v="53"/>
    <n v="14"/>
    <n v="15"/>
    <n v="78"/>
    <n v="60"/>
    <n v="220"/>
    <n v="500"/>
    <n v="44"/>
    <n v="56.000000000000007"/>
  </r>
  <r>
    <s v="Mum-TCL032"/>
    <x v="31"/>
    <x v="3"/>
    <n v="27"/>
    <n v="25"/>
    <n v="39"/>
    <n v="87"/>
    <n v="45"/>
    <n v="223"/>
    <n v="500"/>
    <n v="44.6"/>
    <n v="55.400000000000006"/>
  </r>
  <r>
    <s v="Mum-TCL033"/>
    <x v="32"/>
    <x v="0"/>
    <n v="21"/>
    <n v="66"/>
    <n v="74"/>
    <n v="81"/>
    <n v="54"/>
    <n v="296"/>
    <n v="500"/>
    <n v="59.199999999999996"/>
    <n v="40.800000000000004"/>
  </r>
  <r>
    <s v="Mum-TCL034"/>
    <x v="33"/>
    <x v="5"/>
    <n v="66"/>
    <n v="43"/>
    <n v="97"/>
    <n v="34"/>
    <n v="70"/>
    <n v="310"/>
    <n v="500"/>
    <n v="62"/>
    <n v="38"/>
  </r>
  <r>
    <s v="Mum-TCL035"/>
    <x v="34"/>
    <x v="6"/>
    <n v="55"/>
    <n v="76"/>
    <n v="34"/>
    <n v="30"/>
    <n v="72"/>
    <n v="267"/>
    <n v="500"/>
    <n v="53.400000000000006"/>
    <n v="46.599999999999994"/>
  </r>
  <r>
    <s v="Mum-TCL036"/>
    <x v="35"/>
    <x v="5"/>
    <n v="87"/>
    <n v="87"/>
    <n v="23"/>
    <n v="73"/>
    <n v="78"/>
    <n v="348"/>
    <n v="500"/>
    <n v="69.599999999999994"/>
    <n v="30.40000000000000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312E432-5CD7-4B1B-94B0-DA9BC1424EAD}" name="PivotTable4"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rowHeaderCaption="Sales Executive">
  <location ref="J3:K9" firstHeaderRow="1" firstDataRow="1" firstDataCol="1"/>
  <pivotFields count="12">
    <pivotField showAll="0"/>
    <pivotField axis="axisRow" showAll="0" measureFilter="1">
      <items count="37">
        <item x="27"/>
        <item x="32"/>
        <item x="10"/>
        <item x="3"/>
        <item x="5"/>
        <item x="29"/>
        <item x="19"/>
        <item x="13"/>
        <item x="28"/>
        <item x="16"/>
        <item x="22"/>
        <item x="24"/>
        <item x="20"/>
        <item x="34"/>
        <item x="0"/>
        <item x="21"/>
        <item x="30"/>
        <item x="4"/>
        <item x="6"/>
        <item x="23"/>
        <item x="8"/>
        <item x="26"/>
        <item x="1"/>
        <item x="14"/>
        <item x="25"/>
        <item x="12"/>
        <item x="7"/>
        <item x="31"/>
        <item x="9"/>
        <item x="33"/>
        <item x="17"/>
        <item x="35"/>
        <item x="2"/>
        <item x="11"/>
        <item x="15"/>
        <item x="18"/>
        <item t="default"/>
      </items>
    </pivotField>
    <pivotField showAll="0">
      <items count="9">
        <item h="1" x="4"/>
        <item h="1" x="3"/>
        <item h="1" x="7"/>
        <item h="1" x="1"/>
        <item h="1" x="5"/>
        <item h="1" x="6"/>
        <item x="2"/>
        <item h="1" x="0"/>
        <item t="default"/>
      </items>
    </pivotField>
    <pivotField showAll="0"/>
    <pivotField showAll="0"/>
    <pivotField showAll="0"/>
    <pivotField showAll="0"/>
    <pivotField showAll="0"/>
    <pivotField showAll="0"/>
    <pivotField showAll="0"/>
    <pivotField showAll="0"/>
    <pivotField dataField="1" showAll="0"/>
  </pivotFields>
  <rowFields count="1">
    <field x="1"/>
  </rowFields>
  <rowItems count="6">
    <i>
      <x v="15"/>
    </i>
    <i>
      <x v="19"/>
    </i>
    <i>
      <x v="28"/>
    </i>
    <i>
      <x v="32"/>
    </i>
    <i>
      <x v="35"/>
    </i>
    <i t="grand">
      <x/>
    </i>
  </rowItems>
  <colItems count="1">
    <i/>
  </colItems>
  <dataFields count="1">
    <dataField name="Away From Target % " fld="11" baseField="1" baseItem="2"/>
  </dataFields>
  <chartFormats count="1">
    <chartFormat chart="0"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71972FE-263E-48DC-B786-BE1EFEC6E920}"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Sales Executive">
  <location ref="G3:H9" firstHeaderRow="1" firstDataRow="1" firstDataCol="1"/>
  <pivotFields count="12">
    <pivotField showAll="0"/>
    <pivotField axis="axisRow" showAll="0" measureFilter="1">
      <items count="37">
        <item x="27"/>
        <item x="32"/>
        <item x="10"/>
        <item x="3"/>
        <item x="5"/>
        <item x="29"/>
        <item x="19"/>
        <item x="13"/>
        <item x="28"/>
        <item x="16"/>
        <item x="22"/>
        <item x="24"/>
        <item x="20"/>
        <item x="34"/>
        <item x="0"/>
        <item x="21"/>
        <item x="30"/>
        <item x="4"/>
        <item x="6"/>
        <item x="23"/>
        <item x="8"/>
        <item x="26"/>
        <item x="1"/>
        <item x="14"/>
        <item x="25"/>
        <item x="12"/>
        <item x="7"/>
        <item x="31"/>
        <item x="9"/>
        <item x="33"/>
        <item x="17"/>
        <item x="35"/>
        <item x="2"/>
        <item x="11"/>
        <item x="15"/>
        <item x="18"/>
        <item t="default"/>
      </items>
    </pivotField>
    <pivotField showAll="0">
      <items count="9">
        <item h="1" x="4"/>
        <item h="1" x="3"/>
        <item h="1" x="7"/>
        <item h="1" x="1"/>
        <item h="1" x="5"/>
        <item h="1" x="6"/>
        <item x="2"/>
        <item h="1" x="0"/>
        <item t="default"/>
      </items>
    </pivotField>
    <pivotField showAll="0"/>
    <pivotField showAll="0"/>
    <pivotField showAll="0"/>
    <pivotField showAll="0"/>
    <pivotField showAll="0"/>
    <pivotField showAll="0"/>
    <pivotField showAll="0"/>
    <pivotField dataField="1" showAll="0"/>
    <pivotField showAll="0"/>
  </pivotFields>
  <rowFields count="1">
    <field x="1"/>
  </rowFields>
  <rowItems count="6">
    <i>
      <x v="15"/>
    </i>
    <i>
      <x v="19"/>
    </i>
    <i>
      <x v="28"/>
    </i>
    <i>
      <x v="32"/>
    </i>
    <i>
      <x v="35"/>
    </i>
    <i t="grand">
      <x/>
    </i>
  </rowItems>
  <colItems count="1">
    <i/>
  </colItems>
  <dataFields count="1">
    <dataField name="Target Hit in %" fld="10" baseField="1" baseItem="0"/>
  </dataFields>
  <pivotTableStyleInfo name="PivotStyleMedium9"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017091E-6068-4586-A4DF-8F876AB521BB}"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rowHeaderCaption="Sales Executive">
  <location ref="A3:B9" firstHeaderRow="1" firstDataRow="1" firstDataCol="1"/>
  <pivotFields count="12">
    <pivotField showAll="0"/>
    <pivotField axis="axisRow" showAll="0" measureFilter="1">
      <items count="37">
        <item x="27"/>
        <item x="32"/>
        <item x="10"/>
        <item x="3"/>
        <item x="5"/>
        <item x="29"/>
        <item x="19"/>
        <item x="13"/>
        <item x="28"/>
        <item x="16"/>
        <item x="22"/>
        <item x="24"/>
        <item x="20"/>
        <item x="34"/>
        <item x="0"/>
        <item x="21"/>
        <item x="30"/>
        <item x="4"/>
        <item x="6"/>
        <item x="23"/>
        <item x="8"/>
        <item x="26"/>
        <item x="1"/>
        <item x="14"/>
        <item x="25"/>
        <item x="12"/>
        <item x="7"/>
        <item x="31"/>
        <item x="9"/>
        <item x="33"/>
        <item x="17"/>
        <item x="35"/>
        <item x="2"/>
        <item x="11"/>
        <item x="15"/>
        <item x="18"/>
        <item t="default"/>
      </items>
    </pivotField>
    <pivotField showAll="0">
      <items count="9">
        <item h="1" x="4"/>
        <item h="1" x="3"/>
        <item h="1" x="7"/>
        <item h="1" x="1"/>
        <item h="1" x="5"/>
        <item h="1" x="6"/>
        <item x="2"/>
        <item h="1" x="0"/>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6">
    <i>
      <x v="15"/>
    </i>
    <i>
      <x v="19"/>
    </i>
    <i>
      <x v="28"/>
    </i>
    <i>
      <x v="32"/>
    </i>
    <i>
      <x v="35"/>
    </i>
    <i t="grand">
      <x/>
    </i>
  </rowItems>
  <colItems count="1">
    <i/>
  </colItems>
  <dataFields count="1">
    <dataField name="Total Sales " fld="8" baseField="1" baseItem="0"/>
  </dataFields>
  <chartFormats count="4">
    <chartFormat chart="0" format="0"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 chart="3" format="1">
      <pivotArea type="data" outline="0" fieldPosition="0">
        <references count="2">
          <reference field="4294967294" count="1" selected="0">
            <x v="0"/>
          </reference>
          <reference field="1" count="1" selected="0">
            <x v="22"/>
          </reference>
        </references>
      </pivotArea>
    </chartFormat>
    <chartFormat chart="3" format="1">
      <pivotArea type="data" outline="0" fieldPosition="0">
        <references count="2">
          <reference field="4294967294" count="1" selected="0">
            <x v="0"/>
          </reference>
          <reference field="1" count="1" selected="0">
            <x v="17"/>
          </reference>
        </references>
      </pivotArea>
    </chartFormat>
  </chartFormats>
  <pivotTableStyleInfo name="PivotStyleMedium2"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8C58E3C-A789-4C9E-A255-112F981E121B}" name="PivotTable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rowHeaderCaption="Sales Executive">
  <location ref="D3:E9" firstHeaderRow="1" firstDataRow="1" firstDataCol="1"/>
  <pivotFields count="12">
    <pivotField showAll="0"/>
    <pivotField axis="axisRow" showAll="0" measureFilter="1">
      <items count="37">
        <item x="27"/>
        <item x="32"/>
        <item x="10"/>
        <item x="3"/>
        <item x="5"/>
        <item x="29"/>
        <item x="19"/>
        <item x="13"/>
        <item x="28"/>
        <item x="16"/>
        <item x="22"/>
        <item x="24"/>
        <item x="20"/>
        <item x="34"/>
        <item x="0"/>
        <item x="21"/>
        <item x="30"/>
        <item x="4"/>
        <item x="6"/>
        <item x="23"/>
        <item x="8"/>
        <item x="26"/>
        <item x="1"/>
        <item x="14"/>
        <item x="25"/>
        <item x="12"/>
        <item x="7"/>
        <item x="31"/>
        <item x="9"/>
        <item x="33"/>
        <item x="17"/>
        <item x="35"/>
        <item x="2"/>
        <item x="11"/>
        <item x="15"/>
        <item x="18"/>
        <item t="default"/>
      </items>
    </pivotField>
    <pivotField showAll="0">
      <items count="9">
        <item h="1" x="4"/>
        <item h="1" x="3"/>
        <item h="1" x="7"/>
        <item h="1" x="1"/>
        <item h="1" x="5"/>
        <item h="1" x="6"/>
        <item x="2"/>
        <item h="1" x="0"/>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6">
    <i>
      <x v="15"/>
    </i>
    <i>
      <x v="19"/>
    </i>
    <i>
      <x v="28"/>
    </i>
    <i>
      <x v="32"/>
    </i>
    <i>
      <x v="35"/>
    </i>
    <i t="grand">
      <x/>
    </i>
  </rowItems>
  <colItems count="1">
    <i/>
  </colItems>
  <dataFields count="1">
    <dataField name="Total Sales " fld="8" baseField="1" baseItem="0"/>
  </dataFields>
  <chartFormats count="1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2"/>
          </reference>
        </references>
      </pivotArea>
    </chartFormat>
    <chartFormat chart="0" format="2">
      <pivotArea type="data" outline="0" fieldPosition="0">
        <references count="2">
          <reference field="4294967294" count="1" selected="0">
            <x v="0"/>
          </reference>
          <reference field="1" count="1" selected="0">
            <x v="5"/>
          </reference>
        </references>
      </pivotArea>
    </chartFormat>
    <chartFormat chart="0" format="3">
      <pivotArea type="data" outline="0" fieldPosition="0">
        <references count="2">
          <reference field="4294967294" count="1" selected="0">
            <x v="0"/>
          </reference>
          <reference field="1" count="1" selected="0">
            <x v="8"/>
          </reference>
        </references>
      </pivotArea>
    </chartFormat>
    <chartFormat chart="0" format="4">
      <pivotArea type="data" outline="0" fieldPosition="0">
        <references count="2">
          <reference field="4294967294" count="1" selected="0">
            <x v="0"/>
          </reference>
          <reference field="1" count="1" selected="0">
            <x v="12"/>
          </reference>
        </references>
      </pivotArea>
    </chartFormat>
    <chartFormat chart="0" format="5">
      <pivotArea type="data" outline="0" fieldPosition="0">
        <references count="2">
          <reference field="4294967294" count="1" selected="0">
            <x v="0"/>
          </reference>
          <reference field="1" count="1" selected="0">
            <x v="16"/>
          </reference>
        </references>
      </pivotArea>
    </chartFormat>
    <chartFormat chart="0" format="6">
      <pivotArea type="data" outline="0" fieldPosition="0">
        <references count="2">
          <reference field="4294967294" count="1" selected="0">
            <x v="0"/>
          </reference>
          <reference field="1" count="1" selected="0">
            <x v="3"/>
          </reference>
        </references>
      </pivotArea>
    </chartFormat>
    <chartFormat chart="0" format="7">
      <pivotArea type="data" outline="0" fieldPosition="0">
        <references count="2">
          <reference field="4294967294" count="1" selected="0">
            <x v="0"/>
          </reference>
          <reference field="1" count="1" selected="0">
            <x v="6"/>
          </reference>
        </references>
      </pivotArea>
    </chartFormat>
    <chartFormat chart="0" format="8">
      <pivotArea type="data" outline="0" fieldPosition="0">
        <references count="2">
          <reference field="4294967294" count="1" selected="0">
            <x v="0"/>
          </reference>
          <reference field="1" count="1" selected="0">
            <x v="27"/>
          </reference>
        </references>
      </pivotArea>
    </chartFormat>
    <chartFormat chart="0" format="9">
      <pivotArea type="data" outline="0" fieldPosition="0">
        <references count="2">
          <reference field="4294967294" count="1" selected="0">
            <x v="0"/>
          </reference>
          <reference field="1" count="1" selected="0">
            <x v="15"/>
          </reference>
        </references>
      </pivotArea>
    </chartFormat>
    <chartFormat chart="0" format="10">
      <pivotArea type="data" outline="0" fieldPosition="0">
        <references count="2">
          <reference field="4294967294" count="1" selected="0">
            <x v="0"/>
          </reference>
          <reference field="1" count="1" selected="0">
            <x v="19"/>
          </reference>
        </references>
      </pivotArea>
    </chartFormat>
    <chartFormat chart="0" format="11">
      <pivotArea type="data" outline="0" fieldPosition="0">
        <references count="2">
          <reference field="4294967294" count="1" selected="0">
            <x v="0"/>
          </reference>
          <reference field="1" count="1" selected="0">
            <x v="28"/>
          </reference>
        </references>
      </pivotArea>
    </chartFormat>
    <chartFormat chart="0" format="12">
      <pivotArea type="data" outline="0" fieldPosition="0">
        <references count="2">
          <reference field="4294967294" count="1" selected="0">
            <x v="0"/>
          </reference>
          <reference field="1" count="1" selected="0">
            <x v="32"/>
          </reference>
        </references>
      </pivotArea>
    </chartFormat>
    <chartFormat chart="0" format="13">
      <pivotArea type="data" outline="0" fieldPosition="0">
        <references count="2">
          <reference field="4294967294" count="1" selected="0">
            <x v="0"/>
          </reference>
          <reference field="1" count="1" selected="0">
            <x v="35"/>
          </reference>
        </references>
      </pivotArea>
    </chartFormat>
  </chartFormats>
  <pivotTableStyleInfo name="PivotStyleMedium2"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25BF8A61-3B8A-44FC-978C-5CBBDC46C1BF}" sourceName="Region">
  <pivotTables>
    <pivotTable tabId="3" name="PivotTable5"/>
    <pivotTable tabId="3" name="PivotTable4"/>
    <pivotTable tabId="3" name="PivotTable1"/>
    <pivotTable tabId="3" name="PivotTable3"/>
  </pivotTables>
  <data>
    <tabular pivotCacheId="1548008532">
      <items count="8">
        <i x="4"/>
        <i x="3"/>
        <i x="7"/>
        <i x="1"/>
        <i x="5"/>
        <i x="6"/>
        <i x="2" s="1"/>
        <i x="0"/>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DA240FAA-0678-4017-BAC3-400A2470A392}" cache="Slicer_Region1" caption="Region" columnCount="8" showCaption="0" style="Slicer Style 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155FC-34ED-44AB-AB78-DC2407C22F22}">
  <sheetPr codeName="Sheet1"/>
  <dimension ref="A1:M37"/>
  <sheetViews>
    <sheetView zoomScale="115" workbookViewId="0">
      <selection activeCell="L1" sqref="A1:L37"/>
    </sheetView>
  </sheetViews>
  <sheetFormatPr defaultRowHeight="14.4" x14ac:dyDescent="0.3"/>
  <cols>
    <col min="1" max="1" width="11.88671875" bestFit="1" customWidth="1"/>
    <col min="2" max="2" width="16.109375" bestFit="1" customWidth="1"/>
    <col min="3" max="3" width="8.21875" bestFit="1" customWidth="1"/>
    <col min="4" max="4" width="5.21875" bestFit="1" customWidth="1"/>
    <col min="9" max="9" width="9.88671875" bestFit="1" customWidth="1"/>
    <col min="11" max="11" width="10.5546875" bestFit="1" customWidth="1"/>
    <col min="12" max="12" width="18.33203125" bestFit="1" customWidth="1"/>
  </cols>
  <sheetData>
    <row r="1" spans="1:13" x14ac:dyDescent="0.3">
      <c r="A1" s="1" t="s">
        <v>0</v>
      </c>
      <c r="B1" s="1" t="s">
        <v>1</v>
      </c>
      <c r="C1" s="1" t="s">
        <v>2</v>
      </c>
      <c r="D1" s="1" t="s">
        <v>67</v>
      </c>
      <c r="E1" s="1" t="s">
        <v>3</v>
      </c>
      <c r="F1" s="1" t="s">
        <v>4</v>
      </c>
      <c r="G1" s="1" t="s">
        <v>5</v>
      </c>
      <c r="H1" s="1" t="s">
        <v>6</v>
      </c>
      <c r="I1" s="1" t="s">
        <v>7</v>
      </c>
      <c r="J1" s="1" t="s">
        <v>64</v>
      </c>
      <c r="K1" s="1" t="s">
        <v>65</v>
      </c>
      <c r="L1" s="1" t="s">
        <v>66</v>
      </c>
    </row>
    <row r="2" spans="1:13" x14ac:dyDescent="0.3">
      <c r="A2" s="2" t="s">
        <v>8</v>
      </c>
      <c r="B2" s="2" t="s">
        <v>19</v>
      </c>
      <c r="C2" s="2" t="s">
        <v>12</v>
      </c>
      <c r="D2" s="2">
        <v>26</v>
      </c>
      <c r="E2" s="2">
        <v>76</v>
      </c>
      <c r="F2" s="2">
        <v>76</v>
      </c>
      <c r="G2" s="2">
        <v>81</v>
      </c>
      <c r="H2" s="2">
        <v>39</v>
      </c>
      <c r="I2" s="2">
        <f>H2+G2+F2+E2+D2</f>
        <v>298</v>
      </c>
      <c r="J2" s="2">
        <v>500</v>
      </c>
      <c r="K2" s="2">
        <f>I2/J2*100</f>
        <v>59.599999999999994</v>
      </c>
      <c r="L2" s="3">
        <f xml:space="preserve"> (1 - (I2 / J2)) * 100</f>
        <v>40.400000000000006</v>
      </c>
      <c r="M2">
        <f xml:space="preserve"> ((J2 - I2) / J2) * 100</f>
        <v>40.400000000000006</v>
      </c>
    </row>
    <row r="3" spans="1:13" x14ac:dyDescent="0.3">
      <c r="A3" s="2" t="s">
        <v>9</v>
      </c>
      <c r="B3" s="2" t="s">
        <v>20</v>
      </c>
      <c r="C3" s="2" t="s">
        <v>15</v>
      </c>
      <c r="D3" s="2">
        <v>76</v>
      </c>
      <c r="E3" s="2">
        <v>94</v>
      </c>
      <c r="F3" s="2">
        <v>89</v>
      </c>
      <c r="G3" s="2">
        <v>27</v>
      </c>
      <c r="H3" s="2">
        <v>81</v>
      </c>
      <c r="I3" s="2">
        <f t="shared" ref="I3:I37" si="0">H3+G3+F3+E3+D3</f>
        <v>367</v>
      </c>
      <c r="J3" s="2">
        <v>500</v>
      </c>
      <c r="K3" s="2">
        <f t="shared" ref="K3:K37" si="1">I3/J3*100</f>
        <v>73.400000000000006</v>
      </c>
      <c r="L3" s="3">
        <f t="shared" ref="L3:L37" si="2" xml:space="preserve"> (1 - (I3 / J3)) * 100</f>
        <v>26.6</v>
      </c>
    </row>
    <row r="4" spans="1:13" x14ac:dyDescent="0.3">
      <c r="A4" s="2" t="s">
        <v>10</v>
      </c>
      <c r="B4" s="2" t="s">
        <v>21</v>
      </c>
      <c r="C4" s="2" t="s">
        <v>16</v>
      </c>
      <c r="D4" s="2">
        <v>87</v>
      </c>
      <c r="E4" s="2">
        <v>94</v>
      </c>
      <c r="F4" s="2">
        <v>22</v>
      </c>
      <c r="G4" s="2">
        <v>38</v>
      </c>
      <c r="H4" s="2">
        <v>24</v>
      </c>
      <c r="I4" s="2">
        <f t="shared" si="0"/>
        <v>265</v>
      </c>
      <c r="J4" s="2">
        <v>500</v>
      </c>
      <c r="K4" s="2">
        <f t="shared" si="1"/>
        <v>53</v>
      </c>
      <c r="L4" s="3">
        <f t="shared" si="2"/>
        <v>47</v>
      </c>
    </row>
    <row r="5" spans="1:13" x14ac:dyDescent="0.3">
      <c r="A5" s="2" t="s">
        <v>42</v>
      </c>
      <c r="B5" s="2" t="s">
        <v>22</v>
      </c>
      <c r="C5" s="2" t="s">
        <v>14</v>
      </c>
      <c r="D5" s="2">
        <v>68</v>
      </c>
      <c r="E5" s="2">
        <v>89</v>
      </c>
      <c r="F5" s="2">
        <v>70</v>
      </c>
      <c r="G5" s="2">
        <v>16</v>
      </c>
      <c r="H5" s="2">
        <v>80</v>
      </c>
      <c r="I5" s="2">
        <f t="shared" si="0"/>
        <v>323</v>
      </c>
      <c r="J5" s="2">
        <v>500</v>
      </c>
      <c r="K5" s="2">
        <f t="shared" si="1"/>
        <v>64.600000000000009</v>
      </c>
      <c r="L5" s="3">
        <f t="shared" si="2"/>
        <v>35.4</v>
      </c>
    </row>
    <row r="6" spans="1:13" x14ac:dyDescent="0.3">
      <c r="A6" s="2" t="s">
        <v>43</v>
      </c>
      <c r="B6" s="2" t="s">
        <v>23</v>
      </c>
      <c r="C6" s="2" t="s">
        <v>17</v>
      </c>
      <c r="D6" s="2">
        <v>86</v>
      </c>
      <c r="E6" s="2">
        <v>81</v>
      </c>
      <c r="F6" s="2">
        <v>50</v>
      </c>
      <c r="G6" s="2">
        <v>97</v>
      </c>
      <c r="H6" s="2">
        <v>48</v>
      </c>
      <c r="I6" s="2">
        <f t="shared" si="0"/>
        <v>362</v>
      </c>
      <c r="J6" s="2">
        <v>500</v>
      </c>
      <c r="K6" s="2">
        <f t="shared" si="1"/>
        <v>72.399999999999991</v>
      </c>
      <c r="L6" s="3">
        <f t="shared" si="2"/>
        <v>27.6</v>
      </c>
    </row>
    <row r="7" spans="1:13" x14ac:dyDescent="0.3">
      <c r="A7" s="2" t="s">
        <v>44</v>
      </c>
      <c r="B7" s="2" t="s">
        <v>24</v>
      </c>
      <c r="C7" s="2" t="s">
        <v>12</v>
      </c>
      <c r="D7" s="2">
        <v>28</v>
      </c>
      <c r="E7" s="2">
        <v>54</v>
      </c>
      <c r="F7" s="2">
        <v>42</v>
      </c>
      <c r="G7" s="2">
        <v>15</v>
      </c>
      <c r="H7" s="2">
        <v>88</v>
      </c>
      <c r="I7" s="2">
        <f t="shared" si="0"/>
        <v>227</v>
      </c>
      <c r="J7" s="2">
        <v>500</v>
      </c>
      <c r="K7" s="2">
        <f t="shared" si="1"/>
        <v>45.4</v>
      </c>
      <c r="L7" s="3">
        <f t="shared" si="2"/>
        <v>54.6</v>
      </c>
    </row>
    <row r="8" spans="1:13" x14ac:dyDescent="0.3">
      <c r="A8" s="2" t="s">
        <v>45</v>
      </c>
      <c r="B8" s="2" t="s">
        <v>18</v>
      </c>
      <c r="C8" s="2" t="s">
        <v>11</v>
      </c>
      <c r="D8" s="2">
        <v>27</v>
      </c>
      <c r="E8" s="2">
        <v>85</v>
      </c>
      <c r="F8" s="2">
        <v>69</v>
      </c>
      <c r="G8" s="2">
        <v>41</v>
      </c>
      <c r="H8" s="2">
        <v>64</v>
      </c>
      <c r="I8" s="2">
        <f t="shared" si="0"/>
        <v>286</v>
      </c>
      <c r="J8" s="2">
        <v>500</v>
      </c>
      <c r="K8" s="2">
        <f t="shared" si="1"/>
        <v>57.199999999999996</v>
      </c>
      <c r="L8" s="3">
        <f t="shared" si="2"/>
        <v>42.800000000000004</v>
      </c>
    </row>
    <row r="9" spans="1:13" x14ac:dyDescent="0.3">
      <c r="A9" s="2" t="s">
        <v>46</v>
      </c>
      <c r="B9" s="2" t="s">
        <v>28</v>
      </c>
      <c r="C9" s="2" t="s">
        <v>17</v>
      </c>
      <c r="D9" s="2">
        <v>14</v>
      </c>
      <c r="E9" s="2">
        <v>91</v>
      </c>
      <c r="F9" s="2">
        <v>77</v>
      </c>
      <c r="G9" s="2">
        <v>73</v>
      </c>
      <c r="H9" s="2">
        <v>19</v>
      </c>
      <c r="I9" s="2">
        <f t="shared" si="0"/>
        <v>274</v>
      </c>
      <c r="J9" s="2">
        <v>500</v>
      </c>
      <c r="K9" s="2">
        <f t="shared" si="1"/>
        <v>54.800000000000004</v>
      </c>
      <c r="L9" s="3">
        <f t="shared" si="2"/>
        <v>45.199999999999996</v>
      </c>
    </row>
    <row r="10" spans="1:13" x14ac:dyDescent="0.3">
      <c r="A10" s="2" t="s">
        <v>47</v>
      </c>
      <c r="B10" s="2" t="s">
        <v>29</v>
      </c>
      <c r="C10" s="2" t="s">
        <v>15</v>
      </c>
      <c r="D10" s="2">
        <v>25</v>
      </c>
      <c r="E10" s="2">
        <v>48</v>
      </c>
      <c r="F10" s="2">
        <v>62</v>
      </c>
      <c r="G10" s="2">
        <v>18</v>
      </c>
      <c r="H10" s="2">
        <v>90</v>
      </c>
      <c r="I10" s="2">
        <f t="shared" si="0"/>
        <v>243</v>
      </c>
      <c r="J10" s="2">
        <v>500</v>
      </c>
      <c r="K10" s="2">
        <f t="shared" si="1"/>
        <v>48.6</v>
      </c>
      <c r="L10" s="3">
        <f t="shared" si="2"/>
        <v>51.4</v>
      </c>
    </row>
    <row r="11" spans="1:13" x14ac:dyDescent="0.3">
      <c r="A11" s="2" t="s">
        <v>48</v>
      </c>
      <c r="B11" s="2" t="s">
        <v>38</v>
      </c>
      <c r="C11" s="2" t="s">
        <v>16</v>
      </c>
      <c r="D11" s="2">
        <v>66</v>
      </c>
      <c r="E11" s="2">
        <v>40</v>
      </c>
      <c r="F11" s="2">
        <v>40</v>
      </c>
      <c r="G11" s="2">
        <v>45</v>
      </c>
      <c r="H11" s="2">
        <v>77</v>
      </c>
      <c r="I11" s="2">
        <f t="shared" si="0"/>
        <v>268</v>
      </c>
      <c r="J11" s="2">
        <v>500</v>
      </c>
      <c r="K11" s="2">
        <f t="shared" si="1"/>
        <v>53.6</v>
      </c>
      <c r="L11" s="3">
        <f t="shared" si="2"/>
        <v>46.4</v>
      </c>
    </row>
    <row r="12" spans="1:13" x14ac:dyDescent="0.3">
      <c r="A12" s="2" t="s">
        <v>49</v>
      </c>
      <c r="B12" s="2" t="s">
        <v>25</v>
      </c>
      <c r="C12" s="2" t="s">
        <v>11</v>
      </c>
      <c r="D12" s="2">
        <v>43</v>
      </c>
      <c r="E12" s="2">
        <v>15</v>
      </c>
      <c r="F12" s="2">
        <v>16</v>
      </c>
      <c r="G12" s="2">
        <v>84</v>
      </c>
      <c r="H12" s="2">
        <v>55</v>
      </c>
      <c r="I12" s="2">
        <f t="shared" si="0"/>
        <v>213</v>
      </c>
      <c r="J12" s="2">
        <v>500</v>
      </c>
      <c r="K12" s="2">
        <f t="shared" si="1"/>
        <v>42.6</v>
      </c>
      <c r="L12" s="3">
        <f t="shared" si="2"/>
        <v>57.400000000000006</v>
      </c>
    </row>
    <row r="13" spans="1:13" x14ac:dyDescent="0.3">
      <c r="A13" s="2" t="s">
        <v>50</v>
      </c>
      <c r="B13" s="2" t="s">
        <v>26</v>
      </c>
      <c r="C13" s="2" t="s">
        <v>13</v>
      </c>
      <c r="D13" s="2">
        <v>62</v>
      </c>
      <c r="E13" s="2">
        <v>39</v>
      </c>
      <c r="F13" s="2">
        <v>31</v>
      </c>
      <c r="G13" s="2">
        <v>54</v>
      </c>
      <c r="H13" s="2">
        <v>70</v>
      </c>
      <c r="I13" s="2">
        <f t="shared" si="0"/>
        <v>256</v>
      </c>
      <c r="J13" s="2">
        <v>500</v>
      </c>
      <c r="K13" s="2">
        <f t="shared" si="1"/>
        <v>51.2</v>
      </c>
      <c r="L13" s="3">
        <f t="shared" si="2"/>
        <v>48.8</v>
      </c>
    </row>
    <row r="14" spans="1:13" x14ac:dyDescent="0.3">
      <c r="A14" s="2" t="s">
        <v>51</v>
      </c>
      <c r="B14" s="2" t="s">
        <v>27</v>
      </c>
      <c r="C14" s="2" t="s">
        <v>12</v>
      </c>
      <c r="D14" s="2">
        <v>57</v>
      </c>
      <c r="E14" s="2">
        <v>74</v>
      </c>
      <c r="F14" s="2">
        <v>58</v>
      </c>
      <c r="G14" s="2">
        <v>16</v>
      </c>
      <c r="H14" s="2">
        <v>72</v>
      </c>
      <c r="I14" s="2">
        <f t="shared" si="0"/>
        <v>277</v>
      </c>
      <c r="J14" s="2">
        <v>500</v>
      </c>
      <c r="K14" s="2">
        <f t="shared" si="1"/>
        <v>55.400000000000006</v>
      </c>
      <c r="L14" s="3">
        <f t="shared" si="2"/>
        <v>44.599999999999994</v>
      </c>
    </row>
    <row r="15" spans="1:13" x14ac:dyDescent="0.3">
      <c r="A15" s="2" t="s">
        <v>52</v>
      </c>
      <c r="B15" s="2" t="s">
        <v>30</v>
      </c>
      <c r="C15" s="2" t="s">
        <v>17</v>
      </c>
      <c r="D15" s="2">
        <v>76</v>
      </c>
      <c r="E15" s="2">
        <v>97</v>
      </c>
      <c r="F15" s="2">
        <v>80</v>
      </c>
      <c r="G15" s="2">
        <v>75</v>
      </c>
      <c r="H15" s="2">
        <v>78</v>
      </c>
      <c r="I15" s="2">
        <f t="shared" si="0"/>
        <v>406</v>
      </c>
      <c r="J15" s="2">
        <v>500</v>
      </c>
      <c r="K15" s="2">
        <f t="shared" si="1"/>
        <v>81.2</v>
      </c>
      <c r="L15" s="3">
        <f t="shared" si="2"/>
        <v>18.799999999999994</v>
      </c>
    </row>
    <row r="16" spans="1:13" x14ac:dyDescent="0.3">
      <c r="A16" s="2" t="s">
        <v>53</v>
      </c>
      <c r="B16" s="2" t="s">
        <v>32</v>
      </c>
      <c r="C16" s="2" t="s">
        <v>12</v>
      </c>
      <c r="D16" s="2">
        <v>59</v>
      </c>
      <c r="E16" s="2">
        <v>43</v>
      </c>
      <c r="F16" s="2">
        <v>61</v>
      </c>
      <c r="G16" s="2">
        <v>10</v>
      </c>
      <c r="H16" s="2">
        <v>87</v>
      </c>
      <c r="I16" s="2">
        <f t="shared" si="0"/>
        <v>260</v>
      </c>
      <c r="J16" s="2">
        <v>500</v>
      </c>
      <c r="K16" s="2">
        <f t="shared" si="1"/>
        <v>52</v>
      </c>
      <c r="L16" s="3">
        <f t="shared" si="2"/>
        <v>48</v>
      </c>
    </row>
    <row r="17" spans="1:12" x14ac:dyDescent="0.3">
      <c r="A17" s="2" t="s">
        <v>54</v>
      </c>
      <c r="B17" s="2" t="s">
        <v>33</v>
      </c>
      <c r="C17" s="2" t="s">
        <v>63</v>
      </c>
      <c r="D17" s="2">
        <v>75</v>
      </c>
      <c r="E17" s="2">
        <v>34</v>
      </c>
      <c r="F17" s="2">
        <v>45</v>
      </c>
      <c r="G17" s="2">
        <v>41</v>
      </c>
      <c r="H17" s="2">
        <v>81</v>
      </c>
      <c r="I17" s="2">
        <f t="shared" si="0"/>
        <v>276</v>
      </c>
      <c r="J17" s="2">
        <v>500</v>
      </c>
      <c r="K17" s="2">
        <f t="shared" si="1"/>
        <v>55.2</v>
      </c>
      <c r="L17" s="3">
        <f t="shared" si="2"/>
        <v>44.8</v>
      </c>
    </row>
    <row r="18" spans="1:12" x14ac:dyDescent="0.3">
      <c r="A18" s="2" t="s">
        <v>55</v>
      </c>
      <c r="B18" s="2" t="s">
        <v>31</v>
      </c>
      <c r="C18" s="2" t="s">
        <v>63</v>
      </c>
      <c r="D18" s="2">
        <v>90</v>
      </c>
      <c r="E18" s="2">
        <v>73</v>
      </c>
      <c r="F18" s="2">
        <v>76</v>
      </c>
      <c r="G18" s="2">
        <v>83</v>
      </c>
      <c r="H18" s="2">
        <v>34</v>
      </c>
      <c r="I18" s="2">
        <f t="shared" si="0"/>
        <v>356</v>
      </c>
      <c r="J18" s="2">
        <v>500</v>
      </c>
      <c r="K18" s="2">
        <f t="shared" si="1"/>
        <v>71.2</v>
      </c>
      <c r="L18" s="3">
        <f t="shared" si="2"/>
        <v>28.800000000000004</v>
      </c>
    </row>
    <row r="19" spans="1:12" x14ac:dyDescent="0.3">
      <c r="A19" s="2" t="s">
        <v>56</v>
      </c>
      <c r="B19" s="2" t="s">
        <v>37</v>
      </c>
      <c r="C19" s="2" t="s">
        <v>13</v>
      </c>
      <c r="D19" s="2">
        <v>83</v>
      </c>
      <c r="E19" s="2">
        <v>65</v>
      </c>
      <c r="F19" s="2">
        <v>82</v>
      </c>
      <c r="G19" s="2">
        <v>92</v>
      </c>
      <c r="H19" s="2">
        <v>30</v>
      </c>
      <c r="I19" s="2">
        <f t="shared" si="0"/>
        <v>352</v>
      </c>
      <c r="J19" s="2">
        <v>500</v>
      </c>
      <c r="K19" s="2">
        <f t="shared" si="1"/>
        <v>70.399999999999991</v>
      </c>
      <c r="L19" s="3">
        <f t="shared" si="2"/>
        <v>29.600000000000005</v>
      </c>
    </row>
    <row r="20" spans="1:12" x14ac:dyDescent="0.3">
      <c r="A20" s="2" t="s">
        <v>57</v>
      </c>
      <c r="B20" s="2" t="s">
        <v>35</v>
      </c>
      <c r="C20" s="2" t="s">
        <v>16</v>
      </c>
      <c r="D20" s="2">
        <v>49</v>
      </c>
      <c r="E20" s="2">
        <v>73</v>
      </c>
      <c r="F20" s="2">
        <v>21</v>
      </c>
      <c r="G20" s="2">
        <v>20</v>
      </c>
      <c r="H20" s="2">
        <v>73</v>
      </c>
      <c r="I20" s="2">
        <f t="shared" si="0"/>
        <v>236</v>
      </c>
      <c r="J20" s="2">
        <v>500</v>
      </c>
      <c r="K20" s="2">
        <f t="shared" si="1"/>
        <v>47.199999999999996</v>
      </c>
      <c r="L20" s="3">
        <f t="shared" si="2"/>
        <v>52.800000000000004</v>
      </c>
    </row>
    <row r="21" spans="1:12" x14ac:dyDescent="0.3">
      <c r="A21" s="2" t="s">
        <v>58</v>
      </c>
      <c r="B21" s="2" t="s">
        <v>36</v>
      </c>
      <c r="C21" s="2" t="s">
        <v>14</v>
      </c>
      <c r="D21" s="2">
        <v>10</v>
      </c>
      <c r="E21" s="2">
        <v>49</v>
      </c>
      <c r="F21" s="2">
        <v>65</v>
      </c>
      <c r="G21" s="2">
        <v>52</v>
      </c>
      <c r="H21" s="2">
        <v>88</v>
      </c>
      <c r="I21" s="2">
        <f t="shared" si="0"/>
        <v>264</v>
      </c>
      <c r="J21" s="2">
        <v>500</v>
      </c>
      <c r="K21" s="2">
        <f t="shared" si="1"/>
        <v>52.800000000000004</v>
      </c>
      <c r="L21" s="3">
        <f t="shared" si="2"/>
        <v>47.199999999999996</v>
      </c>
    </row>
    <row r="22" spans="1:12" x14ac:dyDescent="0.3">
      <c r="A22" s="2" t="s">
        <v>59</v>
      </c>
      <c r="B22" s="2" t="s">
        <v>34</v>
      </c>
      <c r="C22" s="2" t="s">
        <v>12</v>
      </c>
      <c r="D22" s="2">
        <v>29</v>
      </c>
      <c r="E22" s="2">
        <v>93</v>
      </c>
      <c r="F22" s="2">
        <v>53</v>
      </c>
      <c r="G22" s="2">
        <v>22</v>
      </c>
      <c r="H22" s="2">
        <v>17</v>
      </c>
      <c r="I22" s="2">
        <f t="shared" si="0"/>
        <v>214</v>
      </c>
      <c r="J22" s="2">
        <v>500</v>
      </c>
      <c r="K22" s="2">
        <f t="shared" si="1"/>
        <v>42.8</v>
      </c>
      <c r="L22" s="3">
        <f t="shared" si="2"/>
        <v>57.2</v>
      </c>
    </row>
    <row r="23" spans="1:12" x14ac:dyDescent="0.3">
      <c r="A23" s="2" t="s">
        <v>60</v>
      </c>
      <c r="B23" s="2" t="s">
        <v>39</v>
      </c>
      <c r="C23" s="2" t="s">
        <v>16</v>
      </c>
      <c r="D23" s="2">
        <v>35</v>
      </c>
      <c r="E23" s="2">
        <v>83</v>
      </c>
      <c r="F23" s="2">
        <v>27</v>
      </c>
      <c r="G23" s="2">
        <v>50</v>
      </c>
      <c r="H23" s="2">
        <v>61</v>
      </c>
      <c r="I23" s="2">
        <f t="shared" si="0"/>
        <v>256</v>
      </c>
      <c r="J23" s="2">
        <v>500</v>
      </c>
      <c r="K23" s="2">
        <f t="shared" si="1"/>
        <v>51.2</v>
      </c>
      <c r="L23" s="3">
        <f t="shared" si="2"/>
        <v>48.8</v>
      </c>
    </row>
    <row r="24" spans="1:12" x14ac:dyDescent="0.3">
      <c r="A24" s="2" t="s">
        <v>61</v>
      </c>
      <c r="B24" s="2" t="s">
        <v>40</v>
      </c>
      <c r="C24" s="2" t="s">
        <v>17</v>
      </c>
      <c r="D24" s="2">
        <v>83</v>
      </c>
      <c r="E24" s="2">
        <v>31</v>
      </c>
      <c r="F24" s="2">
        <v>12</v>
      </c>
      <c r="G24" s="2">
        <v>10</v>
      </c>
      <c r="H24" s="2">
        <v>89</v>
      </c>
      <c r="I24" s="2">
        <f t="shared" si="0"/>
        <v>225</v>
      </c>
      <c r="J24" s="2">
        <v>500</v>
      </c>
      <c r="K24" s="2">
        <f t="shared" si="1"/>
        <v>45</v>
      </c>
      <c r="L24" s="3">
        <f t="shared" si="2"/>
        <v>55.000000000000007</v>
      </c>
    </row>
    <row r="25" spans="1:12" x14ac:dyDescent="0.3">
      <c r="A25" s="2" t="s">
        <v>62</v>
      </c>
      <c r="B25" s="2" t="s">
        <v>41</v>
      </c>
      <c r="C25" s="2" t="s">
        <v>16</v>
      </c>
      <c r="D25" s="2">
        <v>71</v>
      </c>
      <c r="E25" s="2">
        <v>61</v>
      </c>
      <c r="F25" s="2">
        <v>60</v>
      </c>
      <c r="G25" s="2">
        <v>44</v>
      </c>
      <c r="H25" s="2">
        <v>58</v>
      </c>
      <c r="I25" s="2">
        <f t="shared" si="0"/>
        <v>294</v>
      </c>
      <c r="J25" s="2">
        <v>500</v>
      </c>
      <c r="K25" s="2">
        <f t="shared" si="1"/>
        <v>58.8</v>
      </c>
      <c r="L25" s="3">
        <f t="shared" si="2"/>
        <v>41.2</v>
      </c>
    </row>
    <row r="26" spans="1:12" x14ac:dyDescent="0.3">
      <c r="A26" s="2" t="s">
        <v>73</v>
      </c>
      <c r="B26" s="2" t="s">
        <v>70</v>
      </c>
      <c r="C26" s="2" t="s">
        <v>11</v>
      </c>
      <c r="D26" s="2">
        <v>61</v>
      </c>
      <c r="E26" s="2">
        <v>61</v>
      </c>
      <c r="F26" s="2">
        <v>45</v>
      </c>
      <c r="G26" s="2">
        <v>76</v>
      </c>
      <c r="H26" s="2">
        <v>82</v>
      </c>
      <c r="I26" s="2">
        <f t="shared" si="0"/>
        <v>325</v>
      </c>
      <c r="J26" s="2">
        <v>500</v>
      </c>
      <c r="K26" s="2">
        <f t="shared" si="1"/>
        <v>65</v>
      </c>
      <c r="L26" s="3">
        <f t="shared" si="2"/>
        <v>35</v>
      </c>
    </row>
    <row r="27" spans="1:12" x14ac:dyDescent="0.3">
      <c r="A27" s="2" t="s">
        <v>74</v>
      </c>
      <c r="B27" s="2" t="s">
        <v>71</v>
      </c>
      <c r="C27" s="2" t="s">
        <v>15</v>
      </c>
      <c r="D27" s="2">
        <v>45</v>
      </c>
      <c r="E27" s="2">
        <v>87</v>
      </c>
      <c r="F27" s="2">
        <v>54</v>
      </c>
      <c r="G27" s="2">
        <v>90</v>
      </c>
      <c r="H27" s="2">
        <v>53</v>
      </c>
      <c r="I27" s="2">
        <f t="shared" si="0"/>
        <v>329</v>
      </c>
      <c r="J27" s="2">
        <v>500</v>
      </c>
      <c r="K27" s="2">
        <f t="shared" si="1"/>
        <v>65.8</v>
      </c>
      <c r="L27" s="3">
        <f t="shared" si="2"/>
        <v>34.199999999999996</v>
      </c>
    </row>
    <row r="28" spans="1:12" x14ac:dyDescent="0.3">
      <c r="A28" s="2" t="s">
        <v>75</v>
      </c>
      <c r="B28" s="2" t="s">
        <v>72</v>
      </c>
      <c r="C28" s="2" t="s">
        <v>63</v>
      </c>
      <c r="D28" s="2">
        <v>76</v>
      </c>
      <c r="E28" s="2">
        <v>68</v>
      </c>
      <c r="F28" s="2">
        <v>85</v>
      </c>
      <c r="G28" s="2">
        <v>77</v>
      </c>
      <c r="H28" s="2">
        <v>27</v>
      </c>
      <c r="I28" s="2">
        <f t="shared" si="0"/>
        <v>333</v>
      </c>
      <c r="J28" s="2">
        <v>500</v>
      </c>
      <c r="K28" s="2">
        <f t="shared" si="1"/>
        <v>66.600000000000009</v>
      </c>
      <c r="L28" s="3">
        <f t="shared" si="2"/>
        <v>33.4</v>
      </c>
    </row>
    <row r="29" spans="1:12" x14ac:dyDescent="0.3">
      <c r="A29" s="2" t="s">
        <v>76</v>
      </c>
      <c r="B29" s="2" t="s">
        <v>85</v>
      </c>
      <c r="C29" s="2" t="s">
        <v>13</v>
      </c>
      <c r="D29" s="2">
        <v>82</v>
      </c>
      <c r="E29" s="2">
        <v>86</v>
      </c>
      <c r="F29" s="2">
        <v>91</v>
      </c>
      <c r="G29" s="2">
        <v>55</v>
      </c>
      <c r="H29" s="2">
        <v>53</v>
      </c>
      <c r="I29" s="2">
        <f t="shared" si="0"/>
        <v>367</v>
      </c>
      <c r="J29" s="2">
        <v>500</v>
      </c>
      <c r="K29" s="2">
        <f t="shared" si="1"/>
        <v>73.400000000000006</v>
      </c>
      <c r="L29" s="3">
        <f t="shared" si="2"/>
        <v>26.6</v>
      </c>
    </row>
    <row r="30" spans="1:12" x14ac:dyDescent="0.3">
      <c r="A30" s="2" t="s">
        <v>77</v>
      </c>
      <c r="B30" s="2" t="s">
        <v>86</v>
      </c>
      <c r="C30" s="2" t="s">
        <v>17</v>
      </c>
      <c r="D30" s="2">
        <v>21</v>
      </c>
      <c r="E30" s="2">
        <v>28</v>
      </c>
      <c r="F30" s="2">
        <v>48</v>
      </c>
      <c r="G30" s="2">
        <v>70</v>
      </c>
      <c r="H30" s="2">
        <v>27</v>
      </c>
      <c r="I30" s="2">
        <f t="shared" si="0"/>
        <v>194</v>
      </c>
      <c r="J30" s="2">
        <v>500</v>
      </c>
      <c r="K30" s="2">
        <f t="shared" si="1"/>
        <v>38.800000000000004</v>
      </c>
      <c r="L30" s="3">
        <f t="shared" si="2"/>
        <v>61.199999999999996</v>
      </c>
    </row>
    <row r="31" spans="1:12" x14ac:dyDescent="0.3">
      <c r="A31" s="2" t="s">
        <v>78</v>
      </c>
      <c r="B31" s="2" t="s">
        <v>87</v>
      </c>
      <c r="C31" s="2" t="s">
        <v>12</v>
      </c>
      <c r="D31" s="2">
        <v>65</v>
      </c>
      <c r="E31" s="2">
        <v>27</v>
      </c>
      <c r="F31" s="2">
        <v>40</v>
      </c>
      <c r="G31" s="2">
        <v>72</v>
      </c>
      <c r="H31" s="2">
        <v>12</v>
      </c>
      <c r="I31" s="2">
        <f t="shared" si="0"/>
        <v>216</v>
      </c>
      <c r="J31" s="2">
        <v>500</v>
      </c>
      <c r="K31" s="2">
        <f t="shared" si="1"/>
        <v>43.2</v>
      </c>
      <c r="L31" s="3">
        <f t="shared" si="2"/>
        <v>56.800000000000004</v>
      </c>
    </row>
    <row r="32" spans="1:12" x14ac:dyDescent="0.3">
      <c r="A32" s="2" t="s">
        <v>79</v>
      </c>
      <c r="B32" s="2" t="s">
        <v>88</v>
      </c>
      <c r="C32" s="2" t="s">
        <v>63</v>
      </c>
      <c r="D32" s="2">
        <v>53</v>
      </c>
      <c r="E32" s="2">
        <v>14</v>
      </c>
      <c r="F32" s="2">
        <v>15</v>
      </c>
      <c r="G32" s="2">
        <v>78</v>
      </c>
      <c r="H32" s="2">
        <v>60</v>
      </c>
      <c r="I32" s="2">
        <f t="shared" si="0"/>
        <v>220</v>
      </c>
      <c r="J32" s="2">
        <v>500</v>
      </c>
      <c r="K32" s="2">
        <f t="shared" si="1"/>
        <v>44</v>
      </c>
      <c r="L32" s="3">
        <f t="shared" si="2"/>
        <v>56.000000000000007</v>
      </c>
    </row>
    <row r="33" spans="1:12" x14ac:dyDescent="0.3">
      <c r="A33" s="2" t="s">
        <v>80</v>
      </c>
      <c r="B33" s="2" t="s">
        <v>89</v>
      </c>
      <c r="C33" s="2" t="s">
        <v>14</v>
      </c>
      <c r="D33" s="2">
        <v>27</v>
      </c>
      <c r="E33" s="2">
        <v>25</v>
      </c>
      <c r="F33" s="2">
        <v>39</v>
      </c>
      <c r="G33" s="2">
        <v>87</v>
      </c>
      <c r="H33" s="2">
        <v>45</v>
      </c>
      <c r="I33" s="2">
        <f t="shared" si="0"/>
        <v>223</v>
      </c>
      <c r="J33" s="2">
        <v>500</v>
      </c>
      <c r="K33" s="2">
        <f t="shared" si="1"/>
        <v>44.6</v>
      </c>
      <c r="L33" s="3">
        <f t="shared" si="2"/>
        <v>55.400000000000006</v>
      </c>
    </row>
    <row r="34" spans="1:12" x14ac:dyDescent="0.3">
      <c r="A34" s="2" t="s">
        <v>81</v>
      </c>
      <c r="B34" s="2" t="s">
        <v>90</v>
      </c>
      <c r="C34" s="2" t="s">
        <v>12</v>
      </c>
      <c r="D34" s="2">
        <v>21</v>
      </c>
      <c r="E34" s="2">
        <v>66</v>
      </c>
      <c r="F34" s="2">
        <v>74</v>
      </c>
      <c r="G34" s="2">
        <v>81</v>
      </c>
      <c r="H34" s="2">
        <v>54</v>
      </c>
      <c r="I34" s="2">
        <f t="shared" si="0"/>
        <v>296</v>
      </c>
      <c r="J34" s="2">
        <v>500</v>
      </c>
      <c r="K34" s="2">
        <f t="shared" si="1"/>
        <v>59.199999999999996</v>
      </c>
      <c r="L34" s="3">
        <f t="shared" si="2"/>
        <v>40.800000000000004</v>
      </c>
    </row>
    <row r="35" spans="1:12" x14ac:dyDescent="0.3">
      <c r="A35" s="2" t="s">
        <v>82</v>
      </c>
      <c r="B35" s="2" t="s">
        <v>91</v>
      </c>
      <c r="C35" s="2" t="s">
        <v>11</v>
      </c>
      <c r="D35" s="2">
        <v>66</v>
      </c>
      <c r="E35" s="2">
        <v>43</v>
      </c>
      <c r="F35" s="2">
        <v>97</v>
      </c>
      <c r="G35" s="2">
        <v>34</v>
      </c>
      <c r="H35" s="2">
        <v>70</v>
      </c>
      <c r="I35" s="2">
        <f t="shared" si="0"/>
        <v>310</v>
      </c>
      <c r="J35" s="2">
        <v>500</v>
      </c>
      <c r="K35" s="2">
        <f t="shared" si="1"/>
        <v>62</v>
      </c>
      <c r="L35" s="3">
        <f t="shared" si="2"/>
        <v>38</v>
      </c>
    </row>
    <row r="36" spans="1:12" x14ac:dyDescent="0.3">
      <c r="A36" s="2" t="s">
        <v>83</v>
      </c>
      <c r="B36" s="2" t="s">
        <v>92</v>
      </c>
      <c r="C36" s="2" t="s">
        <v>13</v>
      </c>
      <c r="D36" s="7">
        <v>55</v>
      </c>
      <c r="E36" s="7">
        <v>76</v>
      </c>
      <c r="F36" s="7">
        <v>34</v>
      </c>
      <c r="G36" s="2">
        <v>30</v>
      </c>
      <c r="H36" s="2">
        <v>72</v>
      </c>
      <c r="I36" s="2">
        <f t="shared" si="0"/>
        <v>267</v>
      </c>
      <c r="J36" s="2">
        <v>500</v>
      </c>
      <c r="K36" s="2">
        <f t="shared" si="1"/>
        <v>53.400000000000006</v>
      </c>
      <c r="L36" s="3">
        <f t="shared" si="2"/>
        <v>46.599999999999994</v>
      </c>
    </row>
    <row r="37" spans="1:12" x14ac:dyDescent="0.3">
      <c r="A37" s="2" t="s">
        <v>84</v>
      </c>
      <c r="B37" s="2" t="s">
        <v>93</v>
      </c>
      <c r="C37" s="2" t="s">
        <v>11</v>
      </c>
      <c r="D37" s="7">
        <v>87</v>
      </c>
      <c r="E37" s="7">
        <v>87</v>
      </c>
      <c r="F37" s="7">
        <v>23</v>
      </c>
      <c r="G37" s="2">
        <v>73</v>
      </c>
      <c r="H37" s="2">
        <v>78</v>
      </c>
      <c r="I37" s="2">
        <f t="shared" si="0"/>
        <v>348</v>
      </c>
      <c r="J37" s="2">
        <v>500</v>
      </c>
      <c r="K37" s="2">
        <f t="shared" si="1"/>
        <v>69.599999999999994</v>
      </c>
      <c r="L37" s="3">
        <f t="shared" si="2"/>
        <v>30.400000000000006</v>
      </c>
    </row>
  </sheetData>
  <phoneticPr fontId="3"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F5427A-A1CB-41C9-856E-EEDD759A11A1}">
  <sheetPr codeName="Sheet2"/>
  <dimension ref="A1:M22"/>
  <sheetViews>
    <sheetView showGridLines="0" showRowColHeaders="0" tabSelected="1" zoomScale="137" workbookViewId="0">
      <selection activeCell="M2" sqref="M2"/>
    </sheetView>
  </sheetViews>
  <sheetFormatPr defaultRowHeight="14.4" x14ac:dyDescent="0.3"/>
  <cols>
    <col min="1" max="1" width="16.33203125" bestFit="1" customWidth="1"/>
    <col min="2" max="2" width="10.21875" bestFit="1" customWidth="1"/>
    <col min="3" max="3" width="4.44140625" customWidth="1"/>
    <col min="4" max="4" width="16.33203125" bestFit="1" customWidth="1"/>
    <col min="5" max="5" width="10.21875" bestFit="1" customWidth="1"/>
    <col min="6" max="6" width="4" customWidth="1"/>
    <col min="7" max="7" width="16.33203125" bestFit="1" customWidth="1"/>
    <col min="8" max="8" width="13.33203125" bestFit="1" customWidth="1"/>
    <col min="9" max="9" width="3.77734375" customWidth="1"/>
    <col min="10" max="10" width="16.33203125" bestFit="1" customWidth="1"/>
    <col min="11" max="11" width="18.88671875" bestFit="1" customWidth="1"/>
  </cols>
  <sheetData>
    <row r="1" spans="1:13" x14ac:dyDescent="0.3">
      <c r="A1" s="6" t="b">
        <v>1</v>
      </c>
      <c r="B1" s="6"/>
      <c r="C1" s="6"/>
      <c r="D1" s="6" t="b">
        <v>1</v>
      </c>
      <c r="E1" s="6"/>
      <c r="F1" s="6"/>
      <c r="G1" s="6" t="b">
        <v>1</v>
      </c>
      <c r="H1" s="6"/>
      <c r="I1" s="6"/>
      <c r="J1" s="6" t="b">
        <v>1</v>
      </c>
      <c r="K1" s="6"/>
    </row>
    <row r="2" spans="1:13" ht="52.8" customHeight="1" x14ac:dyDescent="0.3">
      <c r="A2" s="6"/>
      <c r="B2" s="6"/>
      <c r="C2" s="6"/>
      <c r="D2" s="6"/>
      <c r="E2" s="6"/>
      <c r="F2" s="6"/>
      <c r="G2" s="6"/>
      <c r="H2" s="6"/>
      <c r="I2" s="6"/>
      <c r="J2" s="6"/>
      <c r="K2" s="6"/>
    </row>
    <row r="3" spans="1:13" x14ac:dyDescent="0.3">
      <c r="A3" s="4" t="s">
        <v>1</v>
      </c>
      <c r="B3" t="s">
        <v>69</v>
      </c>
      <c r="C3" s="8"/>
      <c r="D3" s="4" t="s">
        <v>1</v>
      </c>
      <c r="E3" t="s">
        <v>69</v>
      </c>
      <c r="F3" s="8"/>
      <c r="G3" s="4" t="s">
        <v>1</v>
      </c>
      <c r="H3" t="s">
        <v>94</v>
      </c>
      <c r="I3" s="8"/>
      <c r="J3" s="4" t="s">
        <v>1</v>
      </c>
      <c r="K3" t="s">
        <v>95</v>
      </c>
    </row>
    <row r="4" spans="1:13" x14ac:dyDescent="0.3">
      <c r="A4" s="5" t="s">
        <v>39</v>
      </c>
      <c r="B4" s="10">
        <v>256</v>
      </c>
      <c r="C4" s="8"/>
      <c r="D4" s="5" t="s">
        <v>39</v>
      </c>
      <c r="E4" s="10">
        <v>256</v>
      </c>
      <c r="F4" s="8"/>
      <c r="G4" s="5" t="s">
        <v>39</v>
      </c>
      <c r="H4" s="10">
        <v>51.2</v>
      </c>
      <c r="I4" s="8"/>
      <c r="J4" s="5" t="s">
        <v>39</v>
      </c>
      <c r="K4" s="10">
        <v>48.8</v>
      </c>
    </row>
    <row r="5" spans="1:13" x14ac:dyDescent="0.3">
      <c r="A5" s="5" t="s">
        <v>41</v>
      </c>
      <c r="B5" s="10">
        <v>294</v>
      </c>
      <c r="C5" s="8"/>
      <c r="D5" s="5" t="s">
        <v>41</v>
      </c>
      <c r="E5" s="10">
        <v>294</v>
      </c>
      <c r="F5" s="8"/>
      <c r="G5" s="5" t="s">
        <v>41</v>
      </c>
      <c r="H5" s="10">
        <v>58.8</v>
      </c>
      <c r="I5" s="8"/>
      <c r="J5" s="5" t="s">
        <v>41</v>
      </c>
      <c r="K5" s="10">
        <v>41.2</v>
      </c>
    </row>
    <row r="6" spans="1:13" x14ac:dyDescent="0.3">
      <c r="A6" s="5" t="s">
        <v>38</v>
      </c>
      <c r="B6" s="10">
        <v>268</v>
      </c>
      <c r="C6" s="8"/>
      <c r="D6" s="5" t="s">
        <v>38</v>
      </c>
      <c r="E6" s="10">
        <v>268</v>
      </c>
      <c r="F6" s="8"/>
      <c r="G6" s="5" t="s">
        <v>38</v>
      </c>
      <c r="H6" s="10">
        <v>53.6</v>
      </c>
      <c r="I6" s="8"/>
      <c r="J6" s="5" t="s">
        <v>38</v>
      </c>
      <c r="K6" s="10">
        <v>46.4</v>
      </c>
    </row>
    <row r="7" spans="1:13" x14ac:dyDescent="0.3">
      <c r="A7" s="5" t="s">
        <v>21</v>
      </c>
      <c r="B7" s="10">
        <v>265</v>
      </c>
      <c r="C7" s="8"/>
      <c r="D7" s="5" t="s">
        <v>21</v>
      </c>
      <c r="E7" s="10">
        <v>265</v>
      </c>
      <c r="F7" s="8"/>
      <c r="G7" s="5" t="s">
        <v>21</v>
      </c>
      <c r="H7" s="10">
        <v>53</v>
      </c>
      <c r="I7" s="8"/>
      <c r="J7" s="5" t="s">
        <v>21</v>
      </c>
      <c r="K7" s="10">
        <v>47</v>
      </c>
    </row>
    <row r="8" spans="1:13" x14ac:dyDescent="0.3">
      <c r="A8" s="5" t="s">
        <v>35</v>
      </c>
      <c r="B8" s="10">
        <v>236</v>
      </c>
      <c r="C8" s="8"/>
      <c r="D8" s="5" t="s">
        <v>35</v>
      </c>
      <c r="E8" s="10">
        <v>236</v>
      </c>
      <c r="F8" s="8"/>
      <c r="G8" s="5" t="s">
        <v>35</v>
      </c>
      <c r="H8" s="10">
        <v>47.199999999999996</v>
      </c>
      <c r="I8" s="8"/>
      <c r="J8" s="5" t="s">
        <v>35</v>
      </c>
      <c r="K8" s="10">
        <v>52.800000000000004</v>
      </c>
      <c r="M8" s="9"/>
    </row>
    <row r="9" spans="1:13" x14ac:dyDescent="0.3">
      <c r="A9" s="5" t="s">
        <v>68</v>
      </c>
      <c r="B9" s="10">
        <v>1319</v>
      </c>
      <c r="C9" s="8"/>
      <c r="D9" s="5" t="s">
        <v>68</v>
      </c>
      <c r="E9" s="10">
        <v>1319</v>
      </c>
      <c r="F9" s="8"/>
      <c r="G9" s="5" t="s">
        <v>68</v>
      </c>
      <c r="H9" s="10">
        <v>263.8</v>
      </c>
      <c r="I9" s="8"/>
      <c r="J9" s="5" t="s">
        <v>68</v>
      </c>
      <c r="K9" s="10">
        <v>236.20000000000002</v>
      </c>
    </row>
    <row r="10" spans="1:13" x14ac:dyDescent="0.3">
      <c r="A10" s="6"/>
      <c r="B10" s="6"/>
      <c r="C10" s="6"/>
      <c r="D10" s="6"/>
      <c r="E10" s="6"/>
      <c r="F10" s="6"/>
      <c r="G10" s="6"/>
      <c r="H10" s="6"/>
      <c r="I10" s="6"/>
      <c r="J10" s="6"/>
      <c r="K10" s="6"/>
    </row>
    <row r="11" spans="1:13" x14ac:dyDescent="0.3">
      <c r="A11" s="6"/>
      <c r="B11" s="6"/>
      <c r="C11" s="6"/>
      <c r="D11" s="6"/>
      <c r="E11" s="6"/>
      <c r="F11" s="6"/>
      <c r="G11" s="6"/>
      <c r="H11" s="6"/>
      <c r="I11" s="6"/>
      <c r="J11" s="6"/>
      <c r="K11" s="6"/>
    </row>
    <row r="12" spans="1:13" x14ac:dyDescent="0.3">
      <c r="A12" s="6"/>
      <c r="B12" s="6"/>
      <c r="C12" s="6"/>
      <c r="D12" s="6"/>
      <c r="E12" s="6"/>
      <c r="F12" s="6"/>
      <c r="G12" s="6"/>
      <c r="H12" s="6"/>
      <c r="I12" s="6"/>
      <c r="J12" s="6"/>
      <c r="K12" s="6"/>
    </row>
    <row r="13" spans="1:13" x14ac:dyDescent="0.3">
      <c r="A13" s="6"/>
      <c r="B13" s="6"/>
      <c r="C13" s="6"/>
      <c r="D13" s="6"/>
      <c r="E13" s="6"/>
      <c r="F13" s="6"/>
      <c r="G13" s="6"/>
      <c r="H13" s="6"/>
      <c r="I13" s="6"/>
      <c r="J13" s="6"/>
      <c r="K13" s="6"/>
    </row>
    <row r="14" spans="1:13" x14ac:dyDescent="0.3">
      <c r="A14" s="6"/>
      <c r="B14" s="6"/>
      <c r="C14" s="6"/>
      <c r="D14" s="6"/>
      <c r="E14" s="6"/>
      <c r="F14" s="6"/>
      <c r="G14" s="6"/>
      <c r="H14" s="6"/>
      <c r="I14" s="6"/>
      <c r="J14" s="6"/>
      <c r="K14" s="6"/>
    </row>
    <row r="15" spans="1:13" x14ac:dyDescent="0.3">
      <c r="A15" s="6"/>
      <c r="B15" s="6"/>
      <c r="C15" s="6"/>
      <c r="D15" s="6"/>
      <c r="E15" s="6"/>
      <c r="F15" s="6"/>
      <c r="G15" s="6"/>
      <c r="H15" s="6"/>
      <c r="I15" s="6"/>
      <c r="J15" s="6"/>
      <c r="K15" s="6"/>
    </row>
    <row r="16" spans="1:13" x14ac:dyDescent="0.3">
      <c r="A16" s="6"/>
      <c r="B16" s="6"/>
      <c r="C16" s="6"/>
      <c r="D16" s="6"/>
      <c r="E16" s="6"/>
      <c r="F16" s="6"/>
      <c r="G16" s="6"/>
      <c r="H16" s="6"/>
      <c r="I16" s="6"/>
      <c r="J16" s="6"/>
      <c r="K16" s="6"/>
    </row>
    <row r="17" spans="1:11" x14ac:dyDescent="0.3">
      <c r="A17" s="6"/>
      <c r="B17" s="6"/>
      <c r="C17" s="6"/>
      <c r="D17" s="6"/>
      <c r="E17" s="6"/>
      <c r="F17" s="6"/>
      <c r="G17" s="6"/>
      <c r="H17" s="6"/>
      <c r="I17" s="6"/>
      <c r="J17" s="6"/>
      <c r="K17" s="6"/>
    </row>
    <row r="18" spans="1:11" x14ac:dyDescent="0.3">
      <c r="A18" s="6"/>
      <c r="B18" s="6"/>
      <c r="C18" s="6"/>
      <c r="D18" s="6"/>
      <c r="E18" s="6"/>
      <c r="F18" s="6"/>
      <c r="G18" s="6"/>
      <c r="H18" s="6"/>
      <c r="I18" s="6"/>
      <c r="J18" s="6"/>
      <c r="K18" s="6"/>
    </row>
    <row r="19" spans="1:11" x14ac:dyDescent="0.3">
      <c r="A19" s="6"/>
      <c r="B19" s="6"/>
      <c r="C19" s="6"/>
      <c r="D19" s="6"/>
      <c r="E19" s="6"/>
      <c r="F19" s="6"/>
      <c r="G19" s="6"/>
      <c r="H19" s="6"/>
      <c r="I19" s="6"/>
      <c r="J19" s="6"/>
      <c r="K19" s="6"/>
    </row>
    <row r="20" spans="1:11" x14ac:dyDescent="0.3">
      <c r="A20" s="6"/>
      <c r="B20" s="6"/>
      <c r="C20" s="6"/>
      <c r="D20" s="6"/>
      <c r="E20" s="6"/>
      <c r="F20" s="6"/>
      <c r="G20" s="6"/>
      <c r="H20" s="6"/>
      <c r="I20" s="6"/>
      <c r="J20" s="6"/>
      <c r="K20" s="6"/>
    </row>
    <row r="21" spans="1:11" x14ac:dyDescent="0.3">
      <c r="A21" s="6"/>
      <c r="B21" s="6"/>
      <c r="C21" s="6"/>
      <c r="D21" s="6"/>
      <c r="E21" s="6"/>
      <c r="F21" s="6"/>
      <c r="G21" s="6"/>
      <c r="H21" s="6"/>
      <c r="I21" s="6"/>
      <c r="J21" s="6"/>
      <c r="K21" s="6"/>
    </row>
    <row r="22" spans="1:11" x14ac:dyDescent="0.3">
      <c r="A22" s="6"/>
      <c r="B22" s="6"/>
      <c r="C22" s="6"/>
      <c r="D22" s="6"/>
      <c r="E22" s="6"/>
      <c r="F22" s="6"/>
      <c r="G22" s="6"/>
      <c r="H22" s="6"/>
      <c r="I22" s="6"/>
      <c r="J22" s="6"/>
      <c r="K22" s="6"/>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3" r:id="rId7" name="Check Box 1">
              <controlPr defaultSize="0" autoFill="0" autoLine="0" autoPict="0" macro="[0]!Macro1">
                <anchor moveWithCells="1">
                  <from>
                    <xdr:col>0</xdr:col>
                    <xdr:colOff>670560</xdr:colOff>
                    <xdr:row>1</xdr:row>
                    <xdr:rowOff>327660</xdr:rowOff>
                  </from>
                  <to>
                    <xdr:col>1</xdr:col>
                    <xdr:colOff>381000</xdr:colOff>
                    <xdr:row>1</xdr:row>
                    <xdr:rowOff>548640</xdr:rowOff>
                  </to>
                </anchor>
              </controlPr>
            </control>
          </mc:Choice>
        </mc:AlternateContent>
        <mc:AlternateContent xmlns:mc="http://schemas.openxmlformats.org/markup-compatibility/2006">
          <mc:Choice Requires="x14">
            <control shapeId="3076" r:id="rId8" name="Check Box 4">
              <controlPr defaultSize="0" autoFill="0" autoLine="0" autoPict="0" macro="[0]!Macro1">
                <anchor moveWithCells="1">
                  <from>
                    <xdr:col>9</xdr:col>
                    <xdr:colOff>822960</xdr:colOff>
                    <xdr:row>1</xdr:row>
                    <xdr:rowOff>327660</xdr:rowOff>
                  </from>
                  <to>
                    <xdr:col>10</xdr:col>
                    <xdr:colOff>533400</xdr:colOff>
                    <xdr:row>1</xdr:row>
                    <xdr:rowOff>548640</xdr:rowOff>
                  </to>
                </anchor>
              </controlPr>
            </control>
          </mc:Choice>
        </mc:AlternateContent>
        <mc:AlternateContent xmlns:mc="http://schemas.openxmlformats.org/markup-compatibility/2006">
          <mc:Choice Requires="x14">
            <control shapeId="3077" r:id="rId9" name="Check Box 5">
              <controlPr defaultSize="0" autoFill="0" autoLine="0" autoPict="0" macro="[0]!Macro1">
                <anchor moveWithCells="1">
                  <from>
                    <xdr:col>6</xdr:col>
                    <xdr:colOff>609600</xdr:colOff>
                    <xdr:row>1</xdr:row>
                    <xdr:rowOff>327660</xdr:rowOff>
                  </from>
                  <to>
                    <xdr:col>7</xdr:col>
                    <xdr:colOff>312420</xdr:colOff>
                    <xdr:row>1</xdr:row>
                    <xdr:rowOff>548640</xdr:rowOff>
                  </to>
                </anchor>
              </controlPr>
            </control>
          </mc:Choice>
        </mc:AlternateContent>
        <mc:AlternateContent xmlns:mc="http://schemas.openxmlformats.org/markup-compatibility/2006">
          <mc:Choice Requires="x14">
            <control shapeId="3079" r:id="rId10" name="Check Box 7">
              <controlPr defaultSize="0" autoFill="0" autoLine="0" autoPict="0" macro="[0]!Macro1">
                <anchor moveWithCells="1">
                  <from>
                    <xdr:col>3</xdr:col>
                    <xdr:colOff>518160</xdr:colOff>
                    <xdr:row>1</xdr:row>
                    <xdr:rowOff>327660</xdr:rowOff>
                  </from>
                  <to>
                    <xdr:col>4</xdr:col>
                    <xdr:colOff>236220</xdr:colOff>
                    <xdr:row>1</xdr:row>
                    <xdr:rowOff>548640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Dashboard </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lakshya prakash</dc:creator>
  <cp:lastModifiedBy>lakshya prakash</cp:lastModifiedBy>
  <dcterms:created xsi:type="dcterms:W3CDTF">2025-11-04T05:56:08Z</dcterms:created>
  <dcterms:modified xsi:type="dcterms:W3CDTF">2025-11-08T16:24:20Z</dcterms:modified>
</cp:coreProperties>
</file>